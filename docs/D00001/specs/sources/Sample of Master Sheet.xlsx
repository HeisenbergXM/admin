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expert\Desktop\"/>
    </mc:Choice>
  </mc:AlternateContent>
  <xr:revisionPtr revIDLastSave="0" documentId="13_ncr:1_{34A3BFB3-36A1-4F7E-8126-32249A4EFDB5}" xr6:coauthVersionLast="47" xr6:coauthVersionMax="47" xr10:uidLastSave="{00000000-0000-0000-0000-000000000000}"/>
  <bookViews>
    <workbookView xWindow="-108" yWindow="-108" windowWidth="27096" windowHeight="16296" tabRatio="923" firstSheet="2" activeTab="2" xr2:uid="{00000000-000D-0000-FFFF-FFFF00000000}"/>
  </bookViews>
  <sheets>
    <sheet name="DATA" sheetId="17" state="hidden" r:id="rId1"/>
    <sheet name="Detail1" sheetId="64" state="hidden" r:id="rId2"/>
    <sheet name="Master Vin List (EV ICE)" sheetId="62" r:id="rId3"/>
    <sheet name="Dealer Code" sheetId="20" r:id="rId4"/>
  </sheets>
  <definedNames>
    <definedName name="_xlnm._FilterDatabase" localSheetId="2" hidden="1">'Master Vin List (EV ICE)'!$A$1:$AR$1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62" l="1"/>
  <c r="S3" i="6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expert</author>
  </authors>
  <commentList>
    <comment ref="B3" authorId="0" shapeId="0" xr:uid="{24C49490-B828-4C4E-BB39-9C909DEF35FE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C3" authorId="0" shapeId="0" xr:uid="{6D45EF1D-95F9-479C-A76E-6358F53DBA08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D3" authorId="0" shapeId="0" xr:uid="{52A898ED-5E29-42C9-8453-E601A32E8A6A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G3" authorId="0" shapeId="0" xr:uid="{2DBF492E-9F3D-474F-9675-49651305DF8D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H3" authorId="0" shapeId="0" xr:uid="{56A4D1C4-5470-43EF-89F1-160D2C02FED5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下拉框选</t>
        </r>
      </text>
    </comment>
    <comment ref="S3" authorId="0" shapeId="0" xr:uid="{93243A17-39EC-42D8-94CE-9A421B6BE98A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T3" authorId="0" shapeId="0" xr:uid="{A9AD87B2-FFFB-4BEE-9795-3DAF20BC56FB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根据Dealer Code选出，不可编辑</t>
        </r>
      </text>
    </comment>
    <comment ref="V3" authorId="0" shapeId="0" xr:uid="{E4153E5C-8ED7-4C70-95E1-3F23FCED06F2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AB3" authorId="0" shapeId="0" xr:uid="{59FE8636-E669-4723-8A9F-B7A9195499E7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AD3" authorId="0" shapeId="0" xr:uid="{96D6F209-190F-4BB2-BDB3-89ABC70D22B2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AJ3" authorId="0" shapeId="0" xr:uid="{2A28E1DD-2390-48AD-90AC-588F3C583024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AK3" authorId="0" shapeId="0" xr:uid="{34F35B03-3AA8-4CD8-A900-F4887738F3DF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AM3" authorId="0" shapeId="0" xr:uid="{7C2CD38E-AF9B-4420-A8D8-CC94E1FF6330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AO3" authorId="0" shapeId="0" xr:uid="{A3413B91-310B-433D-B5E0-4AB2F5B11374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</commentList>
</comments>
</file>

<file path=xl/sharedStrings.xml><?xml version="1.0" encoding="utf-8"?>
<sst xmlns="http://schemas.openxmlformats.org/spreadsheetml/2006/main" count="1528" uniqueCount="481">
  <si>
    <t>物料编码</t>
  </si>
  <si>
    <t>区域版本</t>
  </si>
  <si>
    <t>车系</t>
  </si>
  <si>
    <t>SPEC</t>
  </si>
  <si>
    <t>Interior</t>
  </si>
  <si>
    <t>Exterior</t>
  </si>
  <si>
    <t>内饰</t>
  </si>
  <si>
    <t>外饰</t>
  </si>
  <si>
    <t>MEPWFC79RCLJAY</t>
  </si>
  <si>
    <t>MY</t>
  </si>
  <si>
    <t>MG4 EV</t>
  </si>
  <si>
    <t>51KWh COM</t>
  </si>
  <si>
    <t>Single Color</t>
  </si>
  <si>
    <t>Holborn Blue</t>
  </si>
  <si>
    <t>黑色内饰（配灰白）/BLACK-BLACK-L</t>
  </si>
  <si>
    <t>Brighton Blue / 布莱顿蓝-BRIGHTON BLUE / 布莱顿蓝-JAY</t>
  </si>
  <si>
    <t>MEPWFC79RCLNFZ</t>
  </si>
  <si>
    <t>Volcano Orange</t>
  </si>
  <si>
    <t>Fizzy orange / 气泡橙-FIZZY ORANGE / 气泡橙-NFZ</t>
  </si>
  <si>
    <t>MEPWFC79RCLPAG</t>
  </si>
  <si>
    <t>Camden Grey</t>
  </si>
  <si>
    <t>Andes Grey / 安第斯灰-ANDES GREY / 安第斯灰-PAG</t>
  </si>
  <si>
    <t>MEPWFC79RCLPBC</t>
  </si>
  <si>
    <t>Black Pearl</t>
  </si>
  <si>
    <t>BLACK PEARL / 珠光黑-BLACK PEARL / 珠光黑-PBC</t>
  </si>
  <si>
    <t>MEPWFC79RCLRSJ</t>
  </si>
  <si>
    <t>Dynamic Red</t>
  </si>
  <si>
    <t>FLARE RED / 赤焰红-FLARE RED / 赤焰红-RSJ</t>
  </si>
  <si>
    <t>MEPWFC79RCLSSA</t>
  </si>
  <si>
    <t>Monument Silver</t>
  </si>
  <si>
    <t>SILVER / 勋章银-SILVER / 勋章银-SSA</t>
  </si>
  <si>
    <t>MEPWFC79RCLWSB</t>
  </si>
  <si>
    <t>Artic White</t>
  </si>
  <si>
    <t>YORK WHITE / 约克白-YORK WHITE / 约克白-WSB</t>
  </si>
  <si>
    <t>MEPWFC99RCLJAY</t>
  </si>
  <si>
    <t xml:space="preserve">64KWh COM </t>
  </si>
  <si>
    <t>MEPWFC99RCLNFZ</t>
  </si>
  <si>
    <t>MEPWFC99RCLPAG</t>
  </si>
  <si>
    <t>MEPWFC99RCLPBC</t>
  </si>
  <si>
    <t>MEPWFC99RCLRSJ</t>
  </si>
  <si>
    <t>MEPWFC99RCLSSA</t>
  </si>
  <si>
    <t>MEPWFC99RCLWSB</t>
  </si>
  <si>
    <t>MEPWFD89RC1JAY</t>
  </si>
  <si>
    <t xml:space="preserve">64KWh LUX </t>
  </si>
  <si>
    <t>Duo Color</t>
  </si>
  <si>
    <t>双拼色1/DUO-COLOR1-DUO-COLOR-1</t>
  </si>
  <si>
    <t>MEPWFD89RC1NFZ</t>
  </si>
  <si>
    <t>MEPWFD89RC1PAG</t>
  </si>
  <si>
    <t>MEPWFD89RC1PBC</t>
  </si>
  <si>
    <t>MEPWFD89RC1RSJ</t>
  </si>
  <si>
    <t>MEPWFD89RC1SSA</t>
  </si>
  <si>
    <t>MEPWFD89RC1WSB</t>
  </si>
  <si>
    <t>MEPWFD89RCLJAY</t>
  </si>
  <si>
    <t>MEPWFD89RCLNFZ</t>
  </si>
  <si>
    <t>MEPWFD89RCLPAG</t>
  </si>
  <si>
    <t>MEPWFD89RCLPBC</t>
  </si>
  <si>
    <t>MEPWFD89RCLRSJ</t>
  </si>
  <si>
    <t>MEPWFD89RCLSSA</t>
  </si>
  <si>
    <t>MEPWFD89RCLWSB</t>
  </si>
  <si>
    <t>MEPYFDG9TC1JAY</t>
  </si>
  <si>
    <t xml:space="preserve">77KWh LUX </t>
  </si>
  <si>
    <t>MEPYFDG9TC1NFZ</t>
  </si>
  <si>
    <t>MEPYFDG9TC1PAG</t>
  </si>
  <si>
    <t>MEPYFDG9TC1PBC</t>
  </si>
  <si>
    <t>MEPYFDG9TC1RSJ</t>
  </si>
  <si>
    <t>MEPYFDG9TC1SSA</t>
  </si>
  <si>
    <t>MEPYFDG9TC1WSB</t>
  </si>
  <si>
    <t>MEPYFDG9TCLJAY</t>
  </si>
  <si>
    <t>MEPYFDG9TCLNFZ</t>
  </si>
  <si>
    <t>MEPYFDG9TCLPAG</t>
  </si>
  <si>
    <t>MEPYFDG9TCLPBC</t>
  </si>
  <si>
    <t>MEPYFDG9TCLRSJ</t>
  </si>
  <si>
    <t>MEPYFDG9TCLSSA</t>
  </si>
  <si>
    <t>MEPYFDG9TCLWSB</t>
  </si>
  <si>
    <t>MEPYFGA9SCLJAY</t>
  </si>
  <si>
    <t>64KWh 4WD</t>
  </si>
  <si>
    <t>MEPYFGA9SCLNFZ</t>
  </si>
  <si>
    <t>MEPYFGA9SCLPAG</t>
  </si>
  <si>
    <t>MEPYFGA9SCLPBC</t>
  </si>
  <si>
    <t>MEPYFGA9SCLRSJ</t>
  </si>
  <si>
    <t>MEPYFGA9SCLSSA</t>
  </si>
  <si>
    <t>MEPYFGA9SCLWSB</t>
  </si>
  <si>
    <t>MEPYFGC9SCLGWH</t>
  </si>
  <si>
    <t>Racing Green</t>
  </si>
  <si>
    <t>Wild Hunter / 荒野猎人-WILD HUNTER / 荒野猎人-GWH</t>
  </si>
  <si>
    <t>MDMGSD19KCCMBC</t>
  </si>
  <si>
    <t>MGZSEV</t>
  </si>
  <si>
    <t>DEL</t>
  </si>
  <si>
    <t>Dark</t>
  </si>
  <si>
    <t>深色-DARK-C</t>
  </si>
  <si>
    <t>银色-SILVER-MBC</t>
  </si>
  <si>
    <t>MDMGSD19KCCPBC</t>
  </si>
  <si>
    <t>黑色-BLACK-PBC</t>
  </si>
  <si>
    <t>MDMGSD19KCCRSJ</t>
  </si>
  <si>
    <t>红色-RED-RSJ</t>
  </si>
  <si>
    <t>MDMGSD19KCCWSB</t>
  </si>
  <si>
    <t>白色-WHITE-WSB</t>
  </si>
  <si>
    <t>MDMGSD19KCCJSO</t>
  </si>
  <si>
    <t>蓝色-BLUE-JSO</t>
  </si>
  <si>
    <t>MEPYFGA9SCLZBP</t>
  </si>
  <si>
    <t>NFZ/PBC</t>
  </si>
  <si>
    <t>NFZ/PBC / 气泡橙车身珠光黑顶NFZ/PBC</t>
  </si>
  <si>
    <t>MEPYFGA9SCLIAG</t>
  </si>
  <si>
    <t>WSB/PBC</t>
  </si>
  <si>
    <t>WSB/PBC / 约克白车身珠光黑顶</t>
  </si>
  <si>
    <t>MEPYFGC9SCLZCK</t>
  </si>
  <si>
    <t>GWH/PBC</t>
  </si>
  <si>
    <t>GWH/PBC / 荒野猎人车身珠光黑顶GWH/PBC</t>
  </si>
  <si>
    <t>Details for Count of VIN NUMBER - Dealer: HOMOLOGATION UNIT, Allocated Date: (blank) (+)</t>
  </si>
  <si>
    <t>MODEL</t>
  </si>
  <si>
    <t>EXTERIOR COLOR</t>
  </si>
  <si>
    <t>INTERIOR COLOR</t>
  </si>
  <si>
    <t>VIN NUMBER</t>
  </si>
  <si>
    <t>ENGINE NUMBER</t>
  </si>
  <si>
    <t>MODEL CODE</t>
  </si>
  <si>
    <t>Year Make</t>
  </si>
  <si>
    <t>Material</t>
  </si>
  <si>
    <t>Shipment</t>
  </si>
  <si>
    <t>Allocated Date</t>
  </si>
  <si>
    <t>Dealer</t>
  </si>
  <si>
    <t>Status</t>
  </si>
  <si>
    <t>Invoice#</t>
  </si>
  <si>
    <t>Invoice Date</t>
  </si>
  <si>
    <t>Remark</t>
  </si>
  <si>
    <t>Delivery Status</t>
  </si>
  <si>
    <t>Payment Date</t>
  </si>
  <si>
    <t>Credit Full Payment Date</t>
  </si>
  <si>
    <t>Payment Status</t>
  </si>
  <si>
    <t>MG4 EV 64Kwh 4WD</t>
  </si>
  <si>
    <t>ANDES GREY</t>
  </si>
  <si>
    <t>BLACK</t>
  </si>
  <si>
    <t>LSJWH409XRN138975</t>
  </si>
  <si>
    <t>A123B29A00203001/A123C18B10010911</t>
  </si>
  <si>
    <t>DF5RKEID</t>
  </si>
  <si>
    <t>5TH (CHINA)</t>
  </si>
  <si>
    <t>LSJWH4099RN086481</t>
  </si>
  <si>
    <t>A123B21A00197816</t>
  </si>
  <si>
    <t>2ND (CHINA)</t>
  </si>
  <si>
    <t>MG HS 1.5T LUX</t>
  </si>
  <si>
    <t>ARCTIC WHITE</t>
  </si>
  <si>
    <t>MMLAA426XSG030519</t>
  </si>
  <si>
    <t>15E4EFDTS9050018</t>
  </si>
  <si>
    <t>US219000246</t>
  </si>
  <si>
    <t>US219000246WSB</t>
  </si>
  <si>
    <t>1ST (THAI 2026)</t>
  </si>
  <si>
    <t>MMLAA426XSG030066</t>
  </si>
  <si>
    <t>15E4EFDTS9040013</t>
  </si>
  <si>
    <t>MMLAA426XRG028604</t>
  </si>
  <si>
    <t>15E4EFDTRA250008</t>
  </si>
  <si>
    <t>MMLAA426XRG028599</t>
  </si>
  <si>
    <t>15E4EFDTRA250035</t>
  </si>
  <si>
    <t>MMLAA426XRG028151</t>
  </si>
  <si>
    <t>15E4EFDTRA200009</t>
  </si>
  <si>
    <t>MMLAA4269SG030513</t>
  </si>
  <si>
    <t>15E4EFDTS9050025</t>
  </si>
  <si>
    <t>MMLAA4269RG028593</t>
  </si>
  <si>
    <t>15E4EFDTRA250017</t>
  </si>
  <si>
    <t>MMLAA4269RG028500</t>
  </si>
  <si>
    <t>15E4EFDTRA260009</t>
  </si>
  <si>
    <t>MMLAA4265SG030511</t>
  </si>
  <si>
    <t>15E4EFDTS9160001</t>
  </si>
  <si>
    <t>FLARE RED</t>
  </si>
  <si>
    <t>LSJWH409XRN068359</t>
  </si>
  <si>
    <t>A223B08A00188095</t>
  </si>
  <si>
    <t>4TH (CHINA)</t>
  </si>
  <si>
    <t>MG5 1.5L LUX</t>
  </si>
  <si>
    <t>METAL ASH GRAY</t>
  </si>
  <si>
    <t>MMLA36U63SG026721</t>
  </si>
  <si>
    <t>15S4C5QTS7220013</t>
  </si>
  <si>
    <t>AP321000386</t>
  </si>
  <si>
    <t>AP321000386LAH</t>
  </si>
  <si>
    <t>MMLA36U63SG026542</t>
  </si>
  <si>
    <t>15S4C5QTS7220032</t>
  </si>
  <si>
    <t>MMLA36U63SG025181</t>
  </si>
  <si>
    <t>15S4C5QTS6250001</t>
  </si>
  <si>
    <t>MG5 1.5L LUX - X-Edition</t>
  </si>
  <si>
    <t>MMLA36U6XSG029194</t>
  </si>
  <si>
    <t>15S4C5QTS8270039</t>
  </si>
  <si>
    <t>MMLA36U69SG029199</t>
  </si>
  <si>
    <t>15S4C5QTS8270036</t>
  </si>
  <si>
    <t>MMLA36U68SG028951</t>
  </si>
  <si>
    <t>15S4C5QTS8270022</t>
  </si>
  <si>
    <t>MMLA36U66SG029189</t>
  </si>
  <si>
    <t>15S4C5QTS8270023</t>
  </si>
  <si>
    <t>MMLA36U64SG028929</t>
  </si>
  <si>
    <t>15S4C5QTS8200008</t>
  </si>
  <si>
    <t>MMLA36U63SG029215</t>
  </si>
  <si>
    <t>15S4C5QTS8270037</t>
  </si>
  <si>
    <t>MMLA36U63SG029196</t>
  </si>
  <si>
    <t>15S4C5QTS8270035</t>
  </si>
  <si>
    <t>MMLA36U62SG029190</t>
  </si>
  <si>
    <t>15S4C5QTS8270028</t>
  </si>
  <si>
    <t>MMLA36U62SG029187</t>
  </si>
  <si>
    <t>15S4C5QTS8270027</t>
  </si>
  <si>
    <t>MMLA36U61SG029195</t>
  </si>
  <si>
    <t>15S4C5QTS8270045</t>
  </si>
  <si>
    <t>MMLA36U60SG029219</t>
  </si>
  <si>
    <t>15S4C5QTS8270040</t>
  </si>
  <si>
    <t>MMLA36U6XSG028952</t>
  </si>
  <si>
    <t>15S4C5QTS8270016</t>
  </si>
  <si>
    <t>MMLA36U6XSG028935</t>
  </si>
  <si>
    <t>15S4C5QTS8150010</t>
  </si>
  <si>
    <t>MMLA36U6XSG026716</t>
  </si>
  <si>
    <t>15S4C5QTS7220007</t>
  </si>
  <si>
    <t>MMLA36U6XSG026554</t>
  </si>
  <si>
    <t>15S4C5QTS6250009</t>
  </si>
  <si>
    <t>MMLA36U6XSG026537</t>
  </si>
  <si>
    <t>15S4C5QTS7170031</t>
  </si>
  <si>
    <t>MMLA36U6XSG024741</t>
  </si>
  <si>
    <t>15S4C5QTS6230001</t>
  </si>
  <si>
    <t>MMLA36U6XSG024738</t>
  </si>
  <si>
    <t>15S4C5QTS6230012</t>
  </si>
  <si>
    <t>MMLA36U6XSG023640</t>
  </si>
  <si>
    <t>15S4C5QTS6160009</t>
  </si>
  <si>
    <t>Done PDI</t>
  </si>
  <si>
    <t>MMLA36U6XSG023637</t>
  </si>
  <si>
    <t>15S4C5QTS6160005</t>
  </si>
  <si>
    <t>MMLA36U69SG029221</t>
  </si>
  <si>
    <t>15S4C5QTS8270017</t>
  </si>
  <si>
    <t>MMLA36U69SG029218</t>
  </si>
  <si>
    <t>15S4C5QTS8270019</t>
  </si>
  <si>
    <t>MMLA36U69SG029204</t>
  </si>
  <si>
    <t>15S4C5QTS8270018</t>
  </si>
  <si>
    <t>MMLA36U69SG028943</t>
  </si>
  <si>
    <t>15S4C5QTS8270006</t>
  </si>
  <si>
    <t>MMLA36U69SG028926</t>
  </si>
  <si>
    <t>15S4C5QTS8270003</t>
  </si>
  <si>
    <t>MMLA36U69SG026996</t>
  </si>
  <si>
    <t>15S4C5QTS7230012</t>
  </si>
  <si>
    <t>MMLA36U69SG026982</t>
  </si>
  <si>
    <t>15S4C5QTS7220029</t>
  </si>
  <si>
    <t>MMLA36U69SG026531</t>
  </si>
  <si>
    <t>15S4C5QTS7240015</t>
  </si>
  <si>
    <t>MMLA36U69SG026528</t>
  </si>
  <si>
    <t>15S4C5QTS7220021</t>
  </si>
  <si>
    <t>MMLA36U69SG025167</t>
  </si>
  <si>
    <t>15S4C5QTS6240022</t>
  </si>
  <si>
    <t>MMLA36U69SG024729</t>
  </si>
  <si>
    <t>15S4C5QTS6250020</t>
  </si>
  <si>
    <t>MMLA36U69SG024715</t>
  </si>
  <si>
    <t>15S4C5QTS6230021</t>
  </si>
  <si>
    <t>MMLA36U69SG023841</t>
  </si>
  <si>
    <t>15S4C5QTS6240003</t>
  </si>
  <si>
    <t>MMLA36U69SG023659</t>
  </si>
  <si>
    <t>15S4C5QTS6240013</t>
  </si>
  <si>
    <t>MMLA36U69SG023645</t>
  </si>
  <si>
    <t>15S4C5QTS6120008</t>
  </si>
  <si>
    <t>MMLA36U69SG023628</t>
  </si>
  <si>
    <t>15S4C5QTS6160027</t>
  </si>
  <si>
    <t>MMLA36U68SG029212</t>
  </si>
  <si>
    <t>15S4C5QTS8200002</t>
  </si>
  <si>
    <t>MMLA36U68SG029209</t>
  </si>
  <si>
    <t>15S4C5QTS8200004</t>
  </si>
  <si>
    <t>MMLA36U68SG028948</t>
  </si>
  <si>
    <t>15S4C5QTS8200010</t>
  </si>
  <si>
    <t>MMLA36U68SG028934</t>
  </si>
  <si>
    <t>15S4C5QTS8150011</t>
  </si>
  <si>
    <t>MMLA36U68SG026987</t>
  </si>
  <si>
    <t>15S4C5QTS7230002</t>
  </si>
  <si>
    <t>MMLA36U68SG026973</t>
  </si>
  <si>
    <t>15S4C5QTS7220023</t>
  </si>
  <si>
    <t>MMLA36U68SG026553</t>
  </si>
  <si>
    <t>15S4C5QTS6250010</t>
  </si>
  <si>
    <t>MMLA36U68SG024723</t>
  </si>
  <si>
    <t>15S4C5QTS6230020</t>
  </si>
  <si>
    <t>MMLA36U68SG023846</t>
  </si>
  <si>
    <t>15S4C5QTS6250002</t>
  </si>
  <si>
    <t>MMLA36U68SG023653</t>
  </si>
  <si>
    <t>15S4C5QTS6160024</t>
  </si>
  <si>
    <t>MMLA36U68SG023636</t>
  </si>
  <si>
    <t>15S4C5QTS6160018</t>
  </si>
  <si>
    <t>MMLA36U67SG029217</t>
  </si>
  <si>
    <t>15S4C5QTS8150009</t>
  </si>
  <si>
    <t>MMLA36U67SG029203</t>
  </si>
  <si>
    <t>15S4C5QTS8200013</t>
  </si>
  <si>
    <t>MMLA36U67SG029198</t>
  </si>
  <si>
    <t>15S4C5QTS8270032</t>
  </si>
  <si>
    <t>MMLA36U67SG029184</t>
  </si>
  <si>
    <t>15S4C5QTS8200015</t>
  </si>
  <si>
    <t>MMLA36U67SG028942</t>
  </si>
  <si>
    <t>15S4C5QTS8200014</t>
  </si>
  <si>
    <t>MMLA36U67SG028939</t>
  </si>
  <si>
    <t>15S4C5QTS8200019</t>
  </si>
  <si>
    <t>MMLA36U67SG028925</t>
  </si>
  <si>
    <t>15S4C5QTS8150012</t>
  </si>
  <si>
    <t>MMLA36U67SG026995</t>
  </si>
  <si>
    <t>15S4C5QTS7230011</t>
  </si>
  <si>
    <t>MMLA36U67SG026981</t>
  </si>
  <si>
    <t>15S4C5QTS7220030</t>
  </si>
  <si>
    <t>MMLA36U67SG026530</t>
  </si>
  <si>
    <t>15S4C5QTS7170034</t>
  </si>
  <si>
    <t>MMLA36U67SG026527</t>
  </si>
  <si>
    <t>15S4C5QTS7170028</t>
  </si>
  <si>
    <t>MMLA36U67SG024731</t>
  </si>
  <si>
    <t>15S4C5QTS6240020</t>
  </si>
  <si>
    <t>MMLA36U67SG024714</t>
  </si>
  <si>
    <t>15S4C5QTS6240007</t>
  </si>
  <si>
    <t>MMLA36U67SG023658</t>
  </si>
  <si>
    <t>15S4C5QTS6160021</t>
  </si>
  <si>
    <t>MMLA36U67SG023644</t>
  </si>
  <si>
    <t>15S4C5QTS6160028</t>
  </si>
  <si>
    <t>MMLA36U67SG023630</t>
  </si>
  <si>
    <t>15S4C5QTS6240017</t>
  </si>
  <si>
    <t>MMLA36U67SG023627</t>
  </si>
  <si>
    <t>15S4C5QTS6160014</t>
  </si>
  <si>
    <t>MMLA36U66SG029211</t>
  </si>
  <si>
    <t>15S4C5QTS8270020</t>
  </si>
  <si>
    <t>MMLA36U66SG029208</t>
  </si>
  <si>
    <t>15S4C5QTS8270005</t>
  </si>
  <si>
    <t>MMLA36U66SG029192</t>
  </si>
  <si>
    <t>15S4C5QTS8270024</t>
  </si>
  <si>
    <t>MMLA36U66SG028950</t>
  </si>
  <si>
    <t>15S4C5QTS8200017</t>
  </si>
  <si>
    <t>MMLA36U66SG028947</t>
  </si>
  <si>
    <t>15S4C5QTS8200026</t>
  </si>
  <si>
    <t>MMLA36U66SG028933</t>
  </si>
  <si>
    <t>15S4C5QTS8200016</t>
  </si>
  <si>
    <t>MMLA36U66SG026972</t>
  </si>
  <si>
    <t>15S4C5QTS7220008</t>
  </si>
  <si>
    <t>SCARLET RED</t>
  </si>
  <si>
    <t>MMLAA426XSG031265</t>
  </si>
  <si>
    <t>15E4EFDTS9110004</t>
  </si>
  <si>
    <t>US219000243</t>
  </si>
  <si>
    <t>US219000243RSJ</t>
  </si>
  <si>
    <t>MMLAA426XSG031024</t>
  </si>
  <si>
    <t>15E4EFDTS9050023</t>
  </si>
  <si>
    <t>MMLAA426XSG031010</t>
  </si>
  <si>
    <t>15E4EFDTS9160006</t>
  </si>
  <si>
    <t>MMLAA426XSG030052</t>
  </si>
  <si>
    <t>15E4EFDTS9040002</t>
  </si>
  <si>
    <t>MMLAA426XRG028456</t>
  </si>
  <si>
    <t>15E4EFDTRA100003</t>
  </si>
  <si>
    <t>MMLAA4269SG031015</t>
  </si>
  <si>
    <t>15E4EFDTS9160004</t>
  </si>
  <si>
    <t>MMLAA4269RG028576</t>
  </si>
  <si>
    <t>15E4EFDTRA260001</t>
  </si>
  <si>
    <t>MMLAA4268SG031264</t>
  </si>
  <si>
    <t>15E4EFDTS9050032</t>
  </si>
  <si>
    <t>MMLAA4268SG031023</t>
  </si>
  <si>
    <t>15E4EFDTS9050006</t>
  </si>
  <si>
    <t>MMLAA4268SG030051</t>
  </si>
  <si>
    <t>15E4EFDTS9040001</t>
  </si>
  <si>
    <t>MMLAA4267SG031014</t>
  </si>
  <si>
    <t>15E4EFDTS9160010</t>
  </si>
  <si>
    <t>MMLAA4267RG028575</t>
  </si>
  <si>
    <t>15E4EFDTRA250015</t>
  </si>
  <si>
    <t>MMLAA4267RG028477</t>
  </si>
  <si>
    <t>15E4EFDTRA210026</t>
  </si>
  <si>
    <t>MMLAA4266SG031022</t>
  </si>
  <si>
    <t>15E4EFDTS9050037</t>
  </si>
  <si>
    <t>MMLAA4266SG031019</t>
  </si>
  <si>
    <t>15E4EFDTS9220003</t>
  </si>
  <si>
    <t>MMLAA4266SG030050</t>
  </si>
  <si>
    <t>15E4EFDTS9020002</t>
  </si>
  <si>
    <t>MMLAA4266RG025697</t>
  </si>
  <si>
    <t>15E4EFDTR9060020</t>
  </si>
  <si>
    <t>MMLAA4265RG028574</t>
  </si>
  <si>
    <t>15E4EFDTRA230008</t>
  </si>
  <si>
    <t>MMLAA4265RG028476</t>
  </si>
  <si>
    <t>15E4EFDTRA210032</t>
  </si>
  <si>
    <t>NO.</t>
  </si>
  <si>
    <t>Dealer Code</t>
  </si>
  <si>
    <t>Registration</t>
  </si>
  <si>
    <t>SILVER</t>
  </si>
  <si>
    <t>ANG TRADING &amp; MOTOR CREDIT SDN BHD (PLENTONG)</t>
  </si>
  <si>
    <t>Invoiced</t>
  </si>
  <si>
    <t>Delivered</t>
  </si>
  <si>
    <t>Paid</t>
  </si>
  <si>
    <t>Uploaded</t>
  </si>
  <si>
    <t>MEGA GALERI SDN BHD (GLENMARIE)</t>
  </si>
  <si>
    <t>SEONG HOE MOTORS SDN BHD</t>
  </si>
  <si>
    <t>SING HUAT PREMIUM SDN BHD</t>
  </si>
  <si>
    <t>MEGA APPEAL SDN BHD</t>
  </si>
  <si>
    <t>AI MOTOR GALLERY SDN BHD</t>
  </si>
  <si>
    <t>CERGAZAM AUTOWORLD (EV) SDN BHD</t>
  </si>
  <si>
    <t>MEGA GALERI MOTOR SDN BHD (PJ)</t>
  </si>
  <si>
    <t>AUTO GALLERY CARTRADE SDN BHD</t>
  </si>
  <si>
    <t>SV AUTO HAUS SDN BHD (PUCHONG)</t>
  </si>
  <si>
    <t>WESTSTAR TECHNICS SDN BHD</t>
  </si>
  <si>
    <t>MN AUTOMART SDN BHD</t>
  </si>
  <si>
    <t>NIKAIJAYA AUTO SDN BHD</t>
  </si>
  <si>
    <t>Y2K AUTOMOTIVE SDN BHD</t>
  </si>
  <si>
    <t>SV AUTO HAUS SDN BHD (SEREMBAN)</t>
  </si>
  <si>
    <t>FAIR MOBILITY SDN BHD</t>
  </si>
  <si>
    <t>ANG TRADING &amp; MOTOR CREDIT SDN BHD (MUAR)</t>
  </si>
  <si>
    <t>REIWA MOTORS SDN BHD</t>
  </si>
  <si>
    <t>NIZRA AUTO SDN BHD</t>
  </si>
  <si>
    <t>YM MG AUTO SDN BHD</t>
  </si>
  <si>
    <t>MPV MOTORS SDN BHD</t>
  </si>
  <si>
    <r>
      <t>SINOSURE (EV 0%)</t>
    </r>
    <r>
      <rPr>
        <b/>
        <sz val="11"/>
        <color rgb="FFFF0000"/>
        <rFont val="Calibri"/>
        <family val="2"/>
      </rPr>
      <t xml:space="preserve"> </t>
    </r>
  </si>
  <si>
    <t>BORNEOLAND AUTOMOBILE SDN BHD (MIRI)</t>
  </si>
  <si>
    <t>NO SINOSURE</t>
  </si>
  <si>
    <t>WESTSTAR TECHNICS SDN BHD (Telekom)</t>
  </si>
  <si>
    <t>ECOTECH AUTOS HUB SDN BHD</t>
  </si>
  <si>
    <t>NUCLEAR YELLOW</t>
  </si>
  <si>
    <t>AP321000391YSD</t>
  </si>
  <si>
    <t>MH ALLIANCE SDN BHD</t>
  </si>
  <si>
    <t>BORNEOLAND AUTOMOBILE SDN BHD (KUCHING - SAMARAHAN)</t>
  </si>
  <si>
    <t>BORNEOLAND AUTOMOBILE SDN BHD (SIBU)</t>
  </si>
  <si>
    <t>SALT TECH SDN BHD</t>
  </si>
  <si>
    <t>VANTAGE MG AUTO SDN BHD</t>
  </si>
  <si>
    <t>8TH (THAI)</t>
  </si>
  <si>
    <t>Paid-Sinosure</t>
  </si>
  <si>
    <t>MMLA36U61RG028431</t>
  </si>
  <si>
    <t>15S4C5QTRA230023</t>
  </si>
  <si>
    <t>IV2411176</t>
  </si>
  <si>
    <t>AUTO GALLERY CARTRADE SDN BHD (LANGKAWI)</t>
  </si>
  <si>
    <t xml:space="preserve">MGS5 2026 AT 62kwh LUX </t>
  </si>
  <si>
    <t>ZS3EMA</t>
  </si>
  <si>
    <t>SINOSURE (ICE 0% DP) &amp;  60 DAYS CREDIT TERMS</t>
  </si>
  <si>
    <t xml:space="preserve">Proforma Invoiced </t>
  </si>
  <si>
    <t>CIV2604169</t>
  </si>
  <si>
    <t>MMSC1D041CLSSA</t>
  </si>
  <si>
    <t>CKD- MGS5 SOP 3 (168 UTS)</t>
  </si>
  <si>
    <t>PN0WSSUEVT6000423</t>
  </si>
  <si>
    <t>B126207A10031468</t>
  </si>
  <si>
    <t>PF2606047</t>
  </si>
  <si>
    <t>PN0WSSUEVT6000424</t>
  </si>
  <si>
    <t>B126208A10031893</t>
  </si>
  <si>
    <t>CIV2606003</t>
  </si>
  <si>
    <t>CERGAZAM (EV) AUTOWORLD SDN BHD</t>
  </si>
  <si>
    <t>ASMY10010</t>
  </si>
  <si>
    <t>ASMY10012</t>
  </si>
  <si>
    <t>AUTO GALLERY CARTRADE SDN BHD (ALOR SETAR)</t>
  </si>
  <si>
    <t>ASMY12032</t>
  </si>
  <si>
    <t>ASMY10019</t>
  </si>
  <si>
    <t>ASMY10021</t>
  </si>
  <si>
    <t>ASMY10020</t>
  </si>
  <si>
    <t>ASMY10018</t>
  </si>
  <si>
    <t>ASMY10022</t>
  </si>
  <si>
    <t>ASMY10026</t>
  </si>
  <si>
    <t>ASMY10023</t>
  </si>
  <si>
    <t>ASMY10028</t>
  </si>
  <si>
    <t>VANTAGE AUTO SDN BHD</t>
  </si>
  <si>
    <t>ASMY10027</t>
  </si>
  <si>
    <t>ASMY10025</t>
  </si>
  <si>
    <t>ASMY10029</t>
  </si>
  <si>
    <t>ASMY10030</t>
  </si>
  <si>
    <t>生产部门维护</t>
    <phoneticPr fontId="14" type="noConversion"/>
  </si>
  <si>
    <t>SOP3</t>
  </si>
  <si>
    <t>62KWh LUX  KD Malaysia 81YD</t>
    <phoneticPr fontId="14" type="noConversion"/>
  </si>
  <si>
    <t>PN0WSSUEVT6000283</t>
    <phoneticPr fontId="14" type="noConversion"/>
  </si>
  <si>
    <t>销售部门维护</t>
    <phoneticPr fontId="14" type="noConversion"/>
  </si>
  <si>
    <r>
      <rPr>
        <b/>
        <sz val="11"/>
        <color rgb="FF000000"/>
        <rFont val="Microsoft YaHei"/>
        <family val="2"/>
        <charset val="134"/>
      </rPr>
      <t>财务部门第二次维护（收款状态）</t>
    </r>
    <r>
      <rPr>
        <b/>
        <sz val="11"/>
        <color rgb="FF000000"/>
        <rFont val="Calibri"/>
        <family val="2"/>
      </rPr>
      <t xml:space="preserve">		</t>
    </r>
    <phoneticPr fontId="14" type="noConversion"/>
  </si>
  <si>
    <t>财务部门第一次维护（发票种类）</t>
    <phoneticPr fontId="14" type="noConversion"/>
  </si>
  <si>
    <t>Invoice#</t>
    <phoneticPr fontId="14" type="noConversion"/>
  </si>
  <si>
    <r>
      <rPr>
        <b/>
        <sz val="11"/>
        <color rgb="FF000000"/>
        <rFont val="Microsoft YaHei"/>
        <family val="2"/>
        <charset val="134"/>
      </rPr>
      <t>财务部门第三次维护（如果第一次发票为 Proforma Invoice）</t>
    </r>
    <r>
      <rPr>
        <b/>
        <sz val="11"/>
        <color rgb="FF000000"/>
        <rFont val="Calibri"/>
        <family val="2"/>
      </rPr>
      <t xml:space="preserve">		</t>
    </r>
    <phoneticPr fontId="14" type="noConversion"/>
  </si>
  <si>
    <t>ETD  to Dealer</t>
    <phoneticPr fontId="14" type="noConversion"/>
  </si>
  <si>
    <t xml:space="preserve">ETA to Dealer </t>
    <phoneticPr fontId="14" type="noConversion"/>
  </si>
  <si>
    <t xml:space="preserve">Received date by Dealer </t>
    <phoneticPr fontId="14" type="noConversion"/>
  </si>
  <si>
    <t>Trolly type
4 units/ 6units</t>
    <phoneticPr fontId="14" type="noConversion"/>
  </si>
  <si>
    <t>Fully load or not</t>
    <phoneticPr fontId="14" type="noConversion"/>
  </si>
  <si>
    <t>物流部门负责维护</t>
    <phoneticPr fontId="14" type="noConversion"/>
  </si>
  <si>
    <t>Date to Strogare Yard</t>
    <phoneticPr fontId="14" type="noConversion"/>
  </si>
  <si>
    <t>物流部门维护</t>
    <phoneticPr fontId="14" type="noConversion"/>
  </si>
  <si>
    <t>销售部门根据列X维护</t>
    <phoneticPr fontId="14" type="noConversion"/>
  </si>
  <si>
    <t>Customer region</t>
    <phoneticPr fontId="14" type="noConversion"/>
  </si>
  <si>
    <t>Drosstech Status</t>
    <phoneticPr fontId="14" type="noConversion"/>
  </si>
  <si>
    <t>MERRIKIN (GOLD)</t>
    <phoneticPr fontId="14" type="noConversion"/>
  </si>
  <si>
    <t>PF2606049</t>
    <phoneticPr fontId="14" type="noConversion"/>
  </si>
  <si>
    <t>Paid</t>
    <phoneticPr fontId="14" type="noConversion"/>
  </si>
  <si>
    <t>IV2606006</t>
    <phoneticPr fontId="14" type="noConversion"/>
  </si>
  <si>
    <t>6 units</t>
    <phoneticPr fontId="14" type="noConversion"/>
  </si>
  <si>
    <t>Full</t>
    <phoneticPr fontId="14" type="noConversion"/>
  </si>
  <si>
    <t>Upload Date</t>
    <phoneticPr fontId="14" type="noConversion"/>
  </si>
  <si>
    <t>Kuala Lumpur</t>
    <phoneticPr fontId="14" type="noConversion"/>
  </si>
  <si>
    <t>Offline EPMB</t>
    <phoneticPr fontId="14" type="noConversion"/>
  </si>
  <si>
    <t xml:space="preserve">EPMB ok </t>
    <phoneticPr fontId="14" type="noConversion"/>
  </si>
  <si>
    <t xml:space="preserve">SAIC buy off </t>
    <phoneticPr fontId="14" type="noConversion"/>
  </si>
  <si>
    <t>Remark1</t>
    <phoneticPr fontId="14" type="noConversion"/>
  </si>
  <si>
    <t>remark2</t>
    <phoneticPr fontId="14" type="noConversion"/>
  </si>
  <si>
    <t>ASMY10024</t>
    <phoneticPr fontId="14" type="noConversion"/>
  </si>
  <si>
    <t>Remark3</t>
    <phoneticPr fontId="14" type="noConversion"/>
  </si>
  <si>
    <t>remark4</t>
    <phoneticPr fontId="14" type="noConversion"/>
  </si>
  <si>
    <t>remark5</t>
    <phoneticPr fontId="14" type="noConversion"/>
  </si>
  <si>
    <t>remark6</t>
    <phoneticPr fontId="14" type="noConversion"/>
  </si>
  <si>
    <t>remark7</t>
    <phoneticPr fontId="14" type="noConversion"/>
  </si>
  <si>
    <t>remark8</t>
    <phoneticPr fontId="14" type="noConversion"/>
  </si>
  <si>
    <t xml:space="preserve">Batch </t>
    <phoneticPr fontId="14" type="noConversion"/>
  </si>
  <si>
    <t>Status1</t>
    <phoneticPr fontId="14" type="noConversion"/>
  </si>
  <si>
    <t>Status2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</si>
</sst>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77" formatCode="_(&quot;$&quot;* #,##0.00_);_(&quot;$&quot;* \(#,##0.00\);_(&quot;$&quot;* &quot;-&quot;??_);_(@_)"/>
    <numFmt numFmtId="178" formatCode="0.00_ "/>
  </numFmts>
  <fonts count="27">
    <font>
      <sz val="11"/>
      <color theme="1"/>
      <name val="等线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000000"/>
      <name val="Aptos Narrow"/>
      <family val="2"/>
    </font>
    <font>
      <sz val="11"/>
      <color theme="1"/>
      <name val="等线"/>
      <family val="2"/>
      <scheme val="minor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Aptos Narrow"/>
      <family val="2"/>
    </font>
    <font>
      <b/>
      <sz val="11"/>
      <color theme="1"/>
      <name val="等线"/>
      <family val="2"/>
      <scheme val="minor"/>
    </font>
    <font>
      <sz val="11"/>
      <color rgb="FF000000"/>
      <name val="等线"/>
      <family val="4"/>
      <charset val="134"/>
    </font>
    <font>
      <b/>
      <sz val="12"/>
      <color theme="1"/>
      <name val="Times New Roman"/>
      <family val="1"/>
    </font>
    <font>
      <sz val="11"/>
      <color rgb="FF000000"/>
      <name val="Calibri"/>
      <family val="2"/>
    </font>
    <font>
      <sz val="11"/>
      <color theme="1"/>
      <name val="等线"/>
      <family val="2"/>
      <scheme val="minor"/>
    </font>
    <font>
      <sz val="11"/>
      <color theme="1"/>
      <name val="Tahoma"/>
      <family val="2"/>
      <charset val="222"/>
    </font>
    <font>
      <sz val="9"/>
      <name val="等线"/>
      <family val="3"/>
      <charset val="134"/>
      <scheme val="minor"/>
    </font>
    <font>
      <b/>
      <sz val="10"/>
      <color rgb="FF000000"/>
      <name val="等线"/>
      <family val="2"/>
      <scheme val="minor"/>
    </font>
    <font>
      <sz val="11"/>
      <color rgb="FF000000"/>
      <name val="等线"/>
      <family val="4"/>
      <charset val="134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b/>
      <sz val="11"/>
      <color rgb="FF000000"/>
      <name val="Calibri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9">
    <xf numFmtId="0" fontId="0" fillId="0" borderId="0"/>
    <xf numFmtId="0" fontId="1" fillId="0" borderId="0"/>
    <xf numFmtId="0" fontId="9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0" fontId="4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177" fontId="16" fillId="0" borderId="0" applyFont="0" applyFill="0" applyBorder="0" applyAlignment="0" applyProtection="0"/>
    <xf numFmtId="0" fontId="4" fillId="0" borderId="0">
      <alignment vertical="center"/>
    </xf>
    <xf numFmtId="0" fontId="16" fillId="0" borderId="0"/>
  </cellStyleXfs>
  <cellXfs count="90">
    <xf numFmtId="0" fontId="0" fillId="0" borderId="0" xfId="0"/>
    <xf numFmtId="0" fontId="1" fillId="0" borderId="0" xfId="0" applyFont="1"/>
    <xf numFmtId="0" fontId="3" fillId="0" borderId="0" xfId="0" applyFont="1"/>
    <xf numFmtId="0" fontId="1" fillId="3" borderId="0" xfId="0" applyFont="1" applyFill="1"/>
    <xf numFmtId="0" fontId="1" fillId="2" borderId="0" xfId="0" applyFont="1" applyFill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5" borderId="0" xfId="0" applyFont="1" applyFill="1"/>
    <xf numFmtId="0" fontId="7" fillId="5" borderId="0" xfId="0" applyFont="1" applyFill="1"/>
    <xf numFmtId="0" fontId="0" fillId="0" borderId="2" xfId="0" applyBorder="1" applyAlignment="1">
      <alignment horizontal="right"/>
    </xf>
    <xf numFmtId="0" fontId="6" fillId="0" borderId="2" xfId="0" applyFont="1" applyBorder="1"/>
    <xf numFmtId="0" fontId="5" fillId="0" borderId="2" xfId="0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8" fontId="6" fillId="0" borderId="0" xfId="0" applyNumberFormat="1" applyFont="1" applyAlignment="1">
      <alignment vertical="center"/>
    </xf>
    <xf numFmtId="0" fontId="10" fillId="0" borderId="2" xfId="0" applyFont="1" applyBorder="1" applyAlignment="1">
      <alignment horizontal="right"/>
    </xf>
    <xf numFmtId="178" fontId="6" fillId="0" borderId="1" xfId="0" applyNumberFormat="1" applyFont="1" applyBorder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2" xfId="0" applyFont="1" applyBorder="1" applyAlignment="1">
      <alignment horizontal="center"/>
    </xf>
    <xf numFmtId="14" fontId="17" fillId="0" borderId="2" xfId="0" applyNumberFormat="1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14" fontId="11" fillId="0" borderId="2" xfId="0" applyNumberFormat="1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20" fillId="0" borderId="2" xfId="0" applyFont="1" applyBorder="1" applyAlignment="1">
      <alignment horizontal="left"/>
    </xf>
    <xf numFmtId="0" fontId="19" fillId="2" borderId="2" xfId="0" applyFont="1" applyFill="1" applyBorder="1"/>
    <xf numFmtId="0" fontId="8" fillId="0" borderId="0" xfId="0" applyFont="1"/>
    <xf numFmtId="0" fontId="22" fillId="6" borderId="9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vertical="center"/>
    </xf>
    <xf numFmtId="14" fontId="18" fillId="7" borderId="2" xfId="0" applyNumberFormat="1" applyFont="1" applyFill="1" applyBorder="1" applyAlignment="1">
      <alignment horizontal="center" vertical="center"/>
    </xf>
    <xf numFmtId="14" fontId="19" fillId="7" borderId="2" xfId="0" applyNumberFormat="1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7" fillId="0" borderId="7" xfId="0" applyFont="1" applyBorder="1"/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14" fontId="17" fillId="0" borderId="7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 vertical="center" wrapText="1"/>
    </xf>
    <xf numFmtId="14" fontId="18" fillId="0" borderId="2" xfId="0" applyNumberFormat="1" applyFont="1" applyBorder="1" applyAlignment="1">
      <alignment horizontal="center" vertical="center" wrapText="1"/>
    </xf>
    <xf numFmtId="0" fontId="22" fillId="9" borderId="9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4" fontId="18" fillId="7" borderId="1" xfId="0" applyNumberFormat="1" applyFont="1" applyFill="1" applyBorder="1" applyAlignment="1">
      <alignment horizontal="center" vertical="center"/>
    </xf>
    <xf numFmtId="14" fontId="18" fillId="7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22" fillId="10" borderId="9" xfId="0" applyFont="1" applyFill="1" applyBorder="1" applyAlignment="1">
      <alignment horizontal="center" vertical="center"/>
    </xf>
    <xf numFmtId="14" fontId="17" fillId="0" borderId="1" xfId="0" applyNumberFormat="1" applyFont="1" applyBorder="1"/>
    <xf numFmtId="0" fontId="21" fillId="0" borderId="2" xfId="0" applyFont="1" applyBorder="1" applyAlignment="1">
      <alignment horizontal="center" vertical="center"/>
    </xf>
    <xf numFmtId="14" fontId="24" fillId="8" borderId="3" xfId="0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2" fillId="6" borderId="9" xfId="0" applyFont="1" applyFill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/>
    </xf>
    <xf numFmtId="14" fontId="22" fillId="4" borderId="4" xfId="0" applyNumberFormat="1" applyFont="1" applyFill="1" applyBorder="1" applyAlignment="1">
      <alignment horizontal="center" vertical="center"/>
    </xf>
    <xf numFmtId="14" fontId="22" fillId="4" borderId="9" xfId="0" applyNumberFormat="1" applyFont="1" applyFill="1" applyBorder="1" applyAlignment="1">
      <alignment horizontal="center" vertical="center"/>
    </xf>
    <xf numFmtId="14" fontId="22" fillId="4" borderId="6" xfId="0" applyNumberFormat="1" applyFont="1" applyFill="1" applyBorder="1" applyAlignment="1">
      <alignment horizontal="center" vertical="center"/>
    </xf>
    <xf numFmtId="0" fontId="22" fillId="9" borderId="4" xfId="0" applyFont="1" applyFill="1" applyBorder="1" applyAlignment="1">
      <alignment horizontal="center" vertical="center"/>
    </xf>
    <xf numFmtId="0" fontId="22" fillId="9" borderId="9" xfId="0" applyFont="1" applyFill="1" applyBorder="1" applyAlignment="1">
      <alignment horizontal="center" vertical="center"/>
    </xf>
    <xf numFmtId="14" fontId="24" fillId="8" borderId="8" xfId="0" applyNumberFormat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14" fontId="24" fillId="8" borderId="10" xfId="0" applyNumberFormat="1" applyFont="1" applyFill="1" applyBorder="1" applyAlignment="1">
      <alignment horizontal="center" vertical="center"/>
    </xf>
    <xf numFmtId="14" fontId="24" fillId="8" borderId="0" xfId="0" applyNumberFormat="1" applyFont="1" applyFill="1" applyBorder="1" applyAlignment="1">
      <alignment horizontal="center" vertical="center"/>
    </xf>
    <xf numFmtId="14" fontId="24" fillId="8" borderId="11" xfId="0" applyNumberFormat="1" applyFont="1" applyFill="1" applyBorder="1" applyAlignment="1">
      <alignment horizontal="center" vertical="center"/>
    </xf>
    <xf numFmtId="14" fontId="24" fillId="8" borderId="5" xfId="0" applyNumberFormat="1" applyFont="1" applyFill="1" applyBorder="1" applyAlignment="1">
      <alignment horizontal="center" vertical="center"/>
    </xf>
    <xf numFmtId="14" fontId="23" fillId="10" borderId="3" xfId="0" applyNumberFormat="1" applyFont="1" applyFill="1" applyBorder="1" applyAlignment="1">
      <alignment horizontal="center" vertical="center"/>
    </xf>
    <xf numFmtId="14" fontId="23" fillId="10" borderId="8" xfId="0" applyNumberFormat="1" applyFont="1" applyFill="1" applyBorder="1" applyAlignment="1">
      <alignment horizontal="center" vertical="center"/>
    </xf>
    <xf numFmtId="14" fontId="23" fillId="10" borderId="5" xfId="0" applyNumberFormat="1" applyFont="1" applyFill="1" applyBorder="1" applyAlignment="1">
      <alignment horizontal="center" vertical="center"/>
    </xf>
    <xf numFmtId="14" fontId="18" fillId="7" borderId="4" xfId="0" applyNumberFormat="1" applyFont="1" applyFill="1" applyBorder="1" applyAlignment="1">
      <alignment horizontal="center" vertical="center"/>
    </xf>
    <xf numFmtId="14" fontId="17" fillId="0" borderId="4" xfId="0" applyNumberFormat="1" applyFont="1" applyBorder="1" applyAlignment="1">
      <alignment horizontal="center"/>
    </xf>
    <xf numFmtId="0" fontId="17" fillId="0" borderId="4" xfId="0" applyFont="1" applyBorder="1"/>
    <xf numFmtId="14" fontId="17" fillId="0" borderId="1" xfId="0" applyNumberFormat="1" applyFont="1" applyBorder="1" applyAlignment="1">
      <alignment horizontal="center"/>
    </xf>
    <xf numFmtId="0" fontId="22" fillId="4" borderId="12" xfId="0" applyFont="1" applyFill="1" applyBorder="1" applyAlignment="1">
      <alignment horizontal="center" vertical="center" wrapText="1"/>
    </xf>
    <xf numFmtId="0" fontId="22" fillId="4" borderId="0" xfId="0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 wrapText="1"/>
    </xf>
    <xf numFmtId="0" fontId="20" fillId="7" borderId="0" xfId="0" applyFont="1" applyFill="1" applyAlignment="1">
      <alignment vertical="center"/>
    </xf>
    <xf numFmtId="0" fontId="19" fillId="7" borderId="4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 wrapText="1"/>
    </xf>
  </cellXfs>
  <cellStyles count="29">
    <cellStyle name="Comma 2" xfId="8" xr:uid="{5EB80AC9-339F-4CA1-AA7A-8DC5CD13DB11}"/>
    <cellStyle name="Comma 3" xfId="9" xr:uid="{B35F09C4-FEC4-4614-87CA-BFF582763DB0}"/>
    <cellStyle name="Comma 4" xfId="10" xr:uid="{8D317C71-E049-40B6-B78A-BFFE6652D4BB}"/>
    <cellStyle name="Comma 5" xfId="11" xr:uid="{9D07B51B-AC35-4906-91A7-B7213367C2D9}"/>
    <cellStyle name="Comma 6" xfId="12" xr:uid="{EA74653E-BD73-4974-BC0B-2F7D6AA88DE7}"/>
    <cellStyle name="Comma 7" xfId="13" xr:uid="{C52AEEE4-393D-4C9D-9BF7-6DAC9715E01E}"/>
    <cellStyle name="Currency 2" xfId="14" xr:uid="{1C6D2DC2-AD13-4B39-8019-A1C3D4068B08}"/>
    <cellStyle name="Currency 3" xfId="26" xr:uid="{5765FE09-9ABC-4F15-B11A-7059E42223A7}"/>
    <cellStyle name="Normal 19" xfId="15" xr:uid="{68A08274-3103-4B15-A182-6963B1A08814}"/>
    <cellStyle name="Normal 2" xfId="2" xr:uid="{BE49B232-F0ED-42BF-978C-D698AB54CAA1}"/>
    <cellStyle name="Normal 2 2" xfId="1" xr:uid="{C7106ADE-16DE-4951-AAEE-9F3222EA4643}"/>
    <cellStyle name="Normal 2 3" xfId="16" xr:uid="{DF0CFAEE-BCC4-4F0C-9971-CE079DB70C85}"/>
    <cellStyle name="Normal 3" xfId="3" xr:uid="{D231F069-28D9-4C15-B35C-840491645CD4}"/>
    <cellStyle name="Normal 3 2" xfId="5" xr:uid="{AA5E4F0E-9E22-4E94-905E-35BBDAAA15F4}"/>
    <cellStyle name="Normal 3 2 2" xfId="7" xr:uid="{B4ACBCF5-3A83-4E4A-9206-16A396C67F75}"/>
    <cellStyle name="Normal 3 3" xfId="4" xr:uid="{491A09F5-A790-4628-AEA5-65B397EAD77B}"/>
    <cellStyle name="Normal 3 3 2" xfId="6" xr:uid="{C2FDEF10-E383-46CD-9260-239F5DBCB352}"/>
    <cellStyle name="Normal 3 3 3" xfId="25" xr:uid="{E5A6BC90-CF4B-43AC-8F2D-4DE9F5AF038B}"/>
    <cellStyle name="Normal 3 3_Delivery Master" xfId="24" xr:uid="{C95A6838-C110-42DC-B559-7895DF8ECEAA}"/>
    <cellStyle name="Normal 3 4" xfId="17" xr:uid="{1F713C3B-402B-4DED-9E1D-9F0C647653E9}"/>
    <cellStyle name="Normal 3 5" xfId="27" xr:uid="{72B946BC-5FCA-4678-A266-D7B4B551D1C4}"/>
    <cellStyle name="Normal 3_Delivery Master" xfId="23" xr:uid="{AB9229D6-F324-49F6-A92D-8BC0C8DB85A0}"/>
    <cellStyle name="Normal 4" xfId="18" xr:uid="{B99163EF-4FF1-4924-997E-FEA5C69BEAE3}"/>
    <cellStyle name="Normal 5" xfId="19" xr:uid="{E722EC4C-F9BA-472C-8696-CA572C865984}"/>
    <cellStyle name="Normal 6" xfId="20" xr:uid="{53F941E3-FBDC-4C62-A3D4-82F5CD08AB76}"/>
    <cellStyle name="Normal 7" xfId="21" xr:uid="{EBC04F03-AFE0-4D36-A1A6-4C504EF4F55D}"/>
    <cellStyle name="Normal 8" xfId="22" xr:uid="{885B39F9-B3D6-4E09-8A87-F3FD2E8B671D}"/>
    <cellStyle name="Normal 9" xfId="28" xr:uid="{17C2F15A-E1DE-4893-BB38-1123E54E2A99}"/>
    <cellStyle name="常规" xfId="0" builtinId="0"/>
  </cellStyles>
  <dxfs count="0"/>
  <tableStyles count="2" defaultTableStyle="TableStyleMedium2" defaultPivotStyle="PivotStyleLight16">
    <tableStyle name="TableStylePreset3_Accent1" pivot="0" count="0" xr9:uid="{520B64AF-5E63-4AE0-8566-CFF9092354FB}"/>
    <tableStyle name="PivotStylePreset2_Accent1" table="0" count="0" xr9:uid="{BD101317-3126-47BC-9C95-EDF3E1CACD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41308-3F5C-4B56-9D00-3135EFC9A6A3}" name="Table1" displayName="Table1" ref="A3:S108" totalsRowShown="0">
  <autoFilter ref="A3:S108" xr:uid="{B3E41308-3F5C-4B56-9D00-3135EFC9A6A3}"/>
  <tableColumns count="19">
    <tableColumn id="1" xr3:uid="{A9181D2B-B711-4BEF-85E4-A396E591D418}" name="MODEL"/>
    <tableColumn id="2" xr3:uid="{39902963-0490-4BF5-918D-A230429D697C}" name="EXTERIOR COLOR"/>
    <tableColumn id="3" xr3:uid="{DDA8985C-E8C5-4D07-A555-6C8F7CDE36C5}" name="INTERIOR COLOR"/>
    <tableColumn id="4" xr3:uid="{4CF37E77-6A13-4CE3-A07B-88E9FD90802F}" name="VIN NUMBER"/>
    <tableColumn id="5" xr3:uid="{509FDA24-A3A9-4BBF-9809-DE2EA51B66A9}" name="ENGINE NUMBER"/>
    <tableColumn id="6" xr3:uid="{CB712D73-9BFD-41CC-B475-9029C76AB18B}" name="MODEL CODE"/>
    <tableColumn id="7" xr3:uid="{FAAFFD0F-6945-4CD1-A90B-ACA46ED6C88C}" name="Year Make"/>
    <tableColumn id="8" xr3:uid="{E22EF4E3-9F06-4645-BC67-C6FBECC2DC28}" name="Material"/>
    <tableColumn id="9" xr3:uid="{D4BD6F16-2CE2-4053-B9CE-00CD23BA2E1F}" name="Shipment"/>
    <tableColumn id="10" xr3:uid="{9F1712FA-D349-48C6-8A75-4EB427C46F60}" name="Allocated Date"/>
    <tableColumn id="11" xr3:uid="{02D72E60-AC8B-43D0-9D1F-0D08B6EAE2E0}" name="Dealer"/>
    <tableColumn id="12" xr3:uid="{511A0F94-CCC0-4083-8EC9-F32989F2E743}" name="Status"/>
    <tableColumn id="13" xr3:uid="{07F8AB3D-F2A8-46FB-94F0-A0849599F056}" name="Invoice#"/>
    <tableColumn id="14" xr3:uid="{DBF17700-B4F1-4553-87F1-6C4F4F0306B7}" name="Invoice Date"/>
    <tableColumn id="15" xr3:uid="{BF1E1B02-BBDB-47FE-8193-20F7016C33B4}" name="Remark"/>
    <tableColumn id="16" xr3:uid="{C6990F73-AE47-422C-B073-C626DF2AA868}" name="Delivery Status"/>
    <tableColumn id="17" xr3:uid="{9CF109A7-158B-4AD7-B79F-D9078E60AEF1}" name="Payment Date"/>
    <tableColumn id="18" xr3:uid="{846912CB-3DF1-4BEA-9DBE-7ECD5D93102A}" name="Credit Full Payment Date"/>
    <tableColumn id="19" xr3:uid="{06971F4F-33BF-466E-871B-3BB9689E8CA5}" name="Paymen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B2:I60"/>
  <sheetViews>
    <sheetView workbookViewId="0"/>
  </sheetViews>
  <sheetFormatPr defaultColWidth="8.44140625" defaultRowHeight="13.8"/>
  <sheetData>
    <row r="2" spans="2:9"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2:9" ht="14.4">
      <c r="B3" s="1" t="s">
        <v>8</v>
      </c>
      <c r="C3" s="1" t="s">
        <v>9</v>
      </c>
      <c r="D3" s="1" t="s">
        <v>10</v>
      </c>
      <c r="E3" s="2" t="s">
        <v>11</v>
      </c>
      <c r="F3" s="2" t="s">
        <v>12</v>
      </c>
      <c r="G3" s="2" t="s">
        <v>13</v>
      </c>
      <c r="H3" s="1" t="s">
        <v>14</v>
      </c>
      <c r="I3" s="1" t="s">
        <v>15</v>
      </c>
    </row>
    <row r="4" spans="2:9" ht="14.4">
      <c r="B4" s="1" t="s">
        <v>16</v>
      </c>
      <c r="C4" s="1" t="s">
        <v>9</v>
      </c>
      <c r="D4" s="1" t="s">
        <v>10</v>
      </c>
      <c r="E4" s="2" t="s">
        <v>11</v>
      </c>
      <c r="F4" s="2" t="s">
        <v>12</v>
      </c>
      <c r="G4" s="2" t="s">
        <v>17</v>
      </c>
      <c r="H4" s="1" t="s">
        <v>14</v>
      </c>
      <c r="I4" s="1" t="s">
        <v>18</v>
      </c>
    </row>
    <row r="5" spans="2:9" ht="14.4">
      <c r="B5" s="1" t="s">
        <v>19</v>
      </c>
      <c r="C5" s="1" t="s">
        <v>9</v>
      </c>
      <c r="D5" s="1" t="s">
        <v>10</v>
      </c>
      <c r="E5" s="2" t="s">
        <v>11</v>
      </c>
      <c r="F5" s="2" t="s">
        <v>12</v>
      </c>
      <c r="G5" s="2" t="s">
        <v>20</v>
      </c>
      <c r="H5" s="1" t="s">
        <v>14</v>
      </c>
      <c r="I5" s="1" t="s">
        <v>21</v>
      </c>
    </row>
    <row r="6" spans="2:9" ht="14.4">
      <c r="B6" s="1" t="s">
        <v>22</v>
      </c>
      <c r="C6" s="1" t="s">
        <v>9</v>
      </c>
      <c r="D6" s="1" t="s">
        <v>10</v>
      </c>
      <c r="E6" s="2" t="s">
        <v>11</v>
      </c>
      <c r="F6" s="2" t="s">
        <v>12</v>
      </c>
      <c r="G6" s="2" t="s">
        <v>23</v>
      </c>
      <c r="H6" s="1" t="s">
        <v>14</v>
      </c>
      <c r="I6" s="1" t="s">
        <v>24</v>
      </c>
    </row>
    <row r="7" spans="2:9" ht="14.4">
      <c r="B7" s="1" t="s">
        <v>25</v>
      </c>
      <c r="C7" s="1" t="s">
        <v>9</v>
      </c>
      <c r="D7" s="1" t="s">
        <v>10</v>
      </c>
      <c r="E7" s="2" t="s">
        <v>11</v>
      </c>
      <c r="F7" s="2" t="s">
        <v>12</v>
      </c>
      <c r="G7" s="2" t="s">
        <v>26</v>
      </c>
      <c r="H7" s="1" t="s">
        <v>14</v>
      </c>
      <c r="I7" s="1" t="s">
        <v>27</v>
      </c>
    </row>
    <row r="8" spans="2:9" ht="14.4">
      <c r="B8" s="1" t="s">
        <v>28</v>
      </c>
      <c r="C8" s="1" t="s">
        <v>9</v>
      </c>
      <c r="D8" s="1" t="s">
        <v>10</v>
      </c>
      <c r="E8" s="2" t="s">
        <v>11</v>
      </c>
      <c r="F8" s="2" t="s">
        <v>12</v>
      </c>
      <c r="G8" s="2" t="s">
        <v>29</v>
      </c>
      <c r="H8" s="1" t="s">
        <v>14</v>
      </c>
      <c r="I8" s="1" t="s">
        <v>30</v>
      </c>
    </row>
    <row r="9" spans="2:9" ht="14.4">
      <c r="B9" s="1" t="s">
        <v>31</v>
      </c>
      <c r="C9" s="1" t="s">
        <v>9</v>
      </c>
      <c r="D9" s="1" t="s">
        <v>10</v>
      </c>
      <c r="E9" s="2" t="s">
        <v>11</v>
      </c>
      <c r="F9" s="2" t="s">
        <v>12</v>
      </c>
      <c r="G9" s="2" t="s">
        <v>32</v>
      </c>
      <c r="H9" s="1" t="s">
        <v>14</v>
      </c>
      <c r="I9" s="1" t="s">
        <v>33</v>
      </c>
    </row>
    <row r="10" spans="2:9" ht="14.4">
      <c r="B10" s="7" t="s">
        <v>34</v>
      </c>
      <c r="C10" s="7" t="s">
        <v>9</v>
      </c>
      <c r="D10" s="7" t="s">
        <v>10</v>
      </c>
      <c r="E10" s="8" t="s">
        <v>35</v>
      </c>
      <c r="F10" s="8" t="s">
        <v>12</v>
      </c>
      <c r="G10" s="8" t="s">
        <v>13</v>
      </c>
      <c r="H10" s="7" t="s">
        <v>14</v>
      </c>
      <c r="I10" s="7" t="s">
        <v>15</v>
      </c>
    </row>
    <row r="11" spans="2:9" ht="14.4">
      <c r="B11" s="7" t="s">
        <v>36</v>
      </c>
      <c r="C11" s="7" t="s">
        <v>9</v>
      </c>
      <c r="D11" s="7" t="s">
        <v>10</v>
      </c>
      <c r="E11" s="8" t="s">
        <v>35</v>
      </c>
      <c r="F11" s="8" t="s">
        <v>12</v>
      </c>
      <c r="G11" s="8" t="s">
        <v>17</v>
      </c>
      <c r="H11" s="7" t="s">
        <v>14</v>
      </c>
      <c r="I11" s="7" t="s">
        <v>18</v>
      </c>
    </row>
    <row r="12" spans="2:9" ht="14.4">
      <c r="B12" s="7" t="s">
        <v>37</v>
      </c>
      <c r="C12" s="7" t="s">
        <v>9</v>
      </c>
      <c r="D12" s="7" t="s">
        <v>10</v>
      </c>
      <c r="E12" s="8" t="s">
        <v>35</v>
      </c>
      <c r="F12" s="8" t="s">
        <v>12</v>
      </c>
      <c r="G12" s="8" t="s">
        <v>20</v>
      </c>
      <c r="H12" s="7" t="s">
        <v>14</v>
      </c>
      <c r="I12" s="7" t="s">
        <v>21</v>
      </c>
    </row>
    <row r="13" spans="2:9" ht="14.4">
      <c r="B13" s="7" t="s">
        <v>38</v>
      </c>
      <c r="C13" s="7" t="s">
        <v>9</v>
      </c>
      <c r="D13" s="7" t="s">
        <v>10</v>
      </c>
      <c r="E13" s="8" t="s">
        <v>35</v>
      </c>
      <c r="F13" s="8" t="s">
        <v>12</v>
      </c>
      <c r="G13" s="8" t="s">
        <v>23</v>
      </c>
      <c r="H13" s="7" t="s">
        <v>14</v>
      </c>
      <c r="I13" s="7" t="s">
        <v>24</v>
      </c>
    </row>
    <row r="14" spans="2:9" ht="14.4">
      <c r="B14" s="7" t="s">
        <v>39</v>
      </c>
      <c r="C14" s="7" t="s">
        <v>9</v>
      </c>
      <c r="D14" s="7" t="s">
        <v>10</v>
      </c>
      <c r="E14" s="8" t="s">
        <v>35</v>
      </c>
      <c r="F14" s="8" t="s">
        <v>12</v>
      </c>
      <c r="G14" s="8" t="s">
        <v>26</v>
      </c>
      <c r="H14" s="7" t="s">
        <v>14</v>
      </c>
      <c r="I14" s="7" t="s">
        <v>27</v>
      </c>
    </row>
    <row r="15" spans="2:9" ht="14.4">
      <c r="B15" s="7" t="s">
        <v>40</v>
      </c>
      <c r="C15" s="7" t="s">
        <v>9</v>
      </c>
      <c r="D15" s="7" t="s">
        <v>10</v>
      </c>
      <c r="E15" s="8" t="s">
        <v>35</v>
      </c>
      <c r="F15" s="8" t="s">
        <v>12</v>
      </c>
      <c r="G15" s="8" t="s">
        <v>29</v>
      </c>
      <c r="H15" s="7" t="s">
        <v>14</v>
      </c>
      <c r="I15" s="7" t="s">
        <v>30</v>
      </c>
    </row>
    <row r="16" spans="2:9" ht="14.4">
      <c r="B16" s="7" t="s">
        <v>41</v>
      </c>
      <c r="C16" s="7" t="s">
        <v>9</v>
      </c>
      <c r="D16" s="7" t="s">
        <v>10</v>
      </c>
      <c r="E16" s="8" t="s">
        <v>35</v>
      </c>
      <c r="F16" s="8" t="s">
        <v>12</v>
      </c>
      <c r="G16" s="8" t="s">
        <v>32</v>
      </c>
      <c r="H16" s="7" t="s">
        <v>14</v>
      </c>
      <c r="I16" s="7" t="s">
        <v>33</v>
      </c>
    </row>
    <row r="17" spans="2:9" ht="14.4">
      <c r="B17" s="1" t="s">
        <v>42</v>
      </c>
      <c r="C17" s="1" t="s">
        <v>9</v>
      </c>
      <c r="D17" s="1" t="s">
        <v>10</v>
      </c>
      <c r="E17" s="2" t="s">
        <v>43</v>
      </c>
      <c r="F17" s="2" t="s">
        <v>44</v>
      </c>
      <c r="G17" s="2" t="s">
        <v>13</v>
      </c>
      <c r="H17" s="1" t="s">
        <v>45</v>
      </c>
      <c r="I17" s="1" t="s">
        <v>15</v>
      </c>
    </row>
    <row r="18" spans="2:9" ht="14.4">
      <c r="B18" s="1" t="s">
        <v>46</v>
      </c>
      <c r="C18" s="1" t="s">
        <v>9</v>
      </c>
      <c r="D18" s="1" t="s">
        <v>10</v>
      </c>
      <c r="E18" s="2" t="s">
        <v>43</v>
      </c>
      <c r="F18" s="2" t="s">
        <v>44</v>
      </c>
      <c r="G18" s="2" t="s">
        <v>17</v>
      </c>
      <c r="H18" s="1" t="s">
        <v>45</v>
      </c>
      <c r="I18" s="1" t="s">
        <v>18</v>
      </c>
    </row>
    <row r="19" spans="2:9" ht="14.4">
      <c r="B19" s="1" t="s">
        <v>47</v>
      </c>
      <c r="C19" s="1" t="s">
        <v>9</v>
      </c>
      <c r="D19" s="1" t="s">
        <v>10</v>
      </c>
      <c r="E19" s="2" t="s">
        <v>43</v>
      </c>
      <c r="F19" s="2" t="s">
        <v>44</v>
      </c>
      <c r="G19" s="2" t="s">
        <v>20</v>
      </c>
      <c r="H19" s="1" t="s">
        <v>45</v>
      </c>
      <c r="I19" s="1" t="s">
        <v>21</v>
      </c>
    </row>
    <row r="20" spans="2:9" ht="14.4">
      <c r="B20" s="1" t="s">
        <v>48</v>
      </c>
      <c r="C20" s="1" t="s">
        <v>9</v>
      </c>
      <c r="D20" s="1" t="s">
        <v>10</v>
      </c>
      <c r="E20" s="2" t="s">
        <v>43</v>
      </c>
      <c r="F20" s="2" t="s">
        <v>44</v>
      </c>
      <c r="G20" s="2" t="s">
        <v>23</v>
      </c>
      <c r="H20" s="1" t="s">
        <v>45</v>
      </c>
      <c r="I20" s="1" t="s">
        <v>24</v>
      </c>
    </row>
    <row r="21" spans="2:9" ht="14.4">
      <c r="B21" s="1" t="s">
        <v>49</v>
      </c>
      <c r="C21" s="1" t="s">
        <v>9</v>
      </c>
      <c r="D21" s="1" t="s">
        <v>10</v>
      </c>
      <c r="E21" s="2" t="s">
        <v>43</v>
      </c>
      <c r="F21" s="2" t="s">
        <v>44</v>
      </c>
      <c r="G21" s="2" t="s">
        <v>26</v>
      </c>
      <c r="H21" s="1" t="s">
        <v>45</v>
      </c>
      <c r="I21" s="1" t="s">
        <v>27</v>
      </c>
    </row>
    <row r="22" spans="2:9" ht="14.4">
      <c r="B22" s="1" t="s">
        <v>50</v>
      </c>
      <c r="C22" s="1" t="s">
        <v>9</v>
      </c>
      <c r="D22" s="1" t="s">
        <v>10</v>
      </c>
      <c r="E22" s="2" t="s">
        <v>43</v>
      </c>
      <c r="F22" s="2" t="s">
        <v>44</v>
      </c>
      <c r="G22" s="2" t="s">
        <v>29</v>
      </c>
      <c r="H22" s="1" t="s">
        <v>45</v>
      </c>
      <c r="I22" s="1" t="s">
        <v>30</v>
      </c>
    </row>
    <row r="23" spans="2:9" ht="14.4">
      <c r="B23" s="1" t="s">
        <v>51</v>
      </c>
      <c r="C23" s="1" t="s">
        <v>9</v>
      </c>
      <c r="D23" s="1" t="s">
        <v>10</v>
      </c>
      <c r="E23" s="2" t="s">
        <v>43</v>
      </c>
      <c r="F23" s="2" t="s">
        <v>44</v>
      </c>
      <c r="G23" s="2" t="s">
        <v>32</v>
      </c>
      <c r="H23" s="1" t="s">
        <v>45</v>
      </c>
      <c r="I23" s="1" t="s">
        <v>33</v>
      </c>
    </row>
    <row r="24" spans="2:9" ht="14.4">
      <c r="B24" s="1" t="s">
        <v>52</v>
      </c>
      <c r="C24" s="1" t="s">
        <v>9</v>
      </c>
      <c r="D24" s="1" t="s">
        <v>10</v>
      </c>
      <c r="E24" s="2" t="s">
        <v>43</v>
      </c>
      <c r="F24" s="2" t="s">
        <v>12</v>
      </c>
      <c r="G24" s="2" t="s">
        <v>13</v>
      </c>
      <c r="H24" s="1" t="s">
        <v>14</v>
      </c>
      <c r="I24" s="1" t="s">
        <v>15</v>
      </c>
    </row>
    <row r="25" spans="2:9" ht="14.4">
      <c r="B25" s="1" t="s">
        <v>53</v>
      </c>
      <c r="C25" s="1" t="s">
        <v>9</v>
      </c>
      <c r="D25" s="1" t="s">
        <v>10</v>
      </c>
      <c r="E25" s="2" t="s">
        <v>43</v>
      </c>
      <c r="F25" s="2" t="s">
        <v>12</v>
      </c>
      <c r="G25" s="2" t="s">
        <v>17</v>
      </c>
      <c r="H25" s="1" t="s">
        <v>14</v>
      </c>
      <c r="I25" s="1" t="s">
        <v>18</v>
      </c>
    </row>
    <row r="26" spans="2:9" ht="14.4">
      <c r="B26" s="1" t="s">
        <v>54</v>
      </c>
      <c r="C26" s="1" t="s">
        <v>9</v>
      </c>
      <c r="D26" s="1" t="s">
        <v>10</v>
      </c>
      <c r="E26" s="2" t="s">
        <v>43</v>
      </c>
      <c r="F26" s="2" t="s">
        <v>12</v>
      </c>
      <c r="G26" s="2" t="s">
        <v>20</v>
      </c>
      <c r="H26" s="1" t="s">
        <v>14</v>
      </c>
      <c r="I26" s="1" t="s">
        <v>21</v>
      </c>
    </row>
    <row r="27" spans="2:9" ht="14.4">
      <c r="B27" s="1" t="s">
        <v>55</v>
      </c>
      <c r="C27" s="1" t="s">
        <v>9</v>
      </c>
      <c r="D27" s="1" t="s">
        <v>10</v>
      </c>
      <c r="E27" s="2" t="s">
        <v>43</v>
      </c>
      <c r="F27" s="2" t="s">
        <v>12</v>
      </c>
      <c r="G27" s="2" t="s">
        <v>23</v>
      </c>
      <c r="H27" s="1" t="s">
        <v>14</v>
      </c>
      <c r="I27" s="1" t="s">
        <v>24</v>
      </c>
    </row>
    <row r="28" spans="2:9" ht="14.4">
      <c r="B28" s="1" t="s">
        <v>56</v>
      </c>
      <c r="C28" s="1" t="s">
        <v>9</v>
      </c>
      <c r="D28" s="1" t="s">
        <v>10</v>
      </c>
      <c r="E28" s="2" t="s">
        <v>43</v>
      </c>
      <c r="F28" s="2" t="s">
        <v>12</v>
      </c>
      <c r="G28" s="2" t="s">
        <v>26</v>
      </c>
      <c r="H28" s="1" t="s">
        <v>14</v>
      </c>
      <c r="I28" s="1" t="s">
        <v>27</v>
      </c>
    </row>
    <row r="29" spans="2:9" ht="14.4">
      <c r="B29" s="1" t="s">
        <v>57</v>
      </c>
      <c r="C29" s="1" t="s">
        <v>9</v>
      </c>
      <c r="D29" s="1" t="s">
        <v>10</v>
      </c>
      <c r="E29" s="2" t="s">
        <v>43</v>
      </c>
      <c r="F29" s="2" t="s">
        <v>12</v>
      </c>
      <c r="G29" s="2" t="s">
        <v>29</v>
      </c>
      <c r="H29" s="1" t="s">
        <v>14</v>
      </c>
      <c r="I29" s="1" t="s">
        <v>30</v>
      </c>
    </row>
    <row r="30" spans="2:9" ht="14.4">
      <c r="B30" s="1" t="s">
        <v>58</v>
      </c>
      <c r="C30" s="1" t="s">
        <v>9</v>
      </c>
      <c r="D30" s="1" t="s">
        <v>10</v>
      </c>
      <c r="E30" s="2" t="s">
        <v>43</v>
      </c>
      <c r="F30" s="2" t="s">
        <v>12</v>
      </c>
      <c r="G30" s="2" t="s">
        <v>32</v>
      </c>
      <c r="H30" s="1" t="s">
        <v>14</v>
      </c>
      <c r="I30" s="1" t="s">
        <v>33</v>
      </c>
    </row>
    <row r="31" spans="2:9" ht="14.4">
      <c r="B31" s="1" t="s">
        <v>59</v>
      </c>
      <c r="C31" s="1" t="s">
        <v>9</v>
      </c>
      <c r="D31" s="1" t="s">
        <v>10</v>
      </c>
      <c r="E31" s="2" t="s">
        <v>60</v>
      </c>
      <c r="F31" s="2" t="s">
        <v>44</v>
      </c>
      <c r="G31" s="2" t="s">
        <v>13</v>
      </c>
      <c r="H31" s="3" t="s">
        <v>45</v>
      </c>
      <c r="I31" s="1" t="s">
        <v>15</v>
      </c>
    </row>
    <row r="32" spans="2:9" ht="14.4">
      <c r="B32" s="1" t="s">
        <v>61</v>
      </c>
      <c r="C32" s="1" t="s">
        <v>9</v>
      </c>
      <c r="D32" s="1" t="s">
        <v>10</v>
      </c>
      <c r="E32" s="2" t="s">
        <v>60</v>
      </c>
      <c r="F32" s="2" t="s">
        <v>44</v>
      </c>
      <c r="G32" s="2" t="s">
        <v>17</v>
      </c>
      <c r="H32" s="3" t="s">
        <v>45</v>
      </c>
      <c r="I32" s="1" t="s">
        <v>18</v>
      </c>
    </row>
    <row r="33" spans="2:9" ht="14.4">
      <c r="B33" s="1" t="s">
        <v>62</v>
      </c>
      <c r="C33" s="1" t="s">
        <v>9</v>
      </c>
      <c r="D33" s="1" t="s">
        <v>10</v>
      </c>
      <c r="E33" s="2" t="s">
        <v>60</v>
      </c>
      <c r="F33" s="2" t="s">
        <v>44</v>
      </c>
      <c r="G33" s="2" t="s">
        <v>20</v>
      </c>
      <c r="H33" s="3" t="s">
        <v>45</v>
      </c>
      <c r="I33" s="1" t="s">
        <v>21</v>
      </c>
    </row>
    <row r="34" spans="2:9" ht="14.4">
      <c r="B34" s="1" t="s">
        <v>63</v>
      </c>
      <c r="C34" s="1" t="s">
        <v>9</v>
      </c>
      <c r="D34" s="1" t="s">
        <v>10</v>
      </c>
      <c r="E34" s="2" t="s">
        <v>60</v>
      </c>
      <c r="F34" s="2" t="s">
        <v>44</v>
      </c>
      <c r="G34" s="2" t="s">
        <v>23</v>
      </c>
      <c r="H34" s="3" t="s">
        <v>45</v>
      </c>
      <c r="I34" s="1" t="s">
        <v>24</v>
      </c>
    </row>
    <row r="35" spans="2:9" ht="14.4">
      <c r="B35" s="1" t="s">
        <v>64</v>
      </c>
      <c r="C35" s="1" t="s">
        <v>9</v>
      </c>
      <c r="D35" s="1" t="s">
        <v>10</v>
      </c>
      <c r="E35" s="2" t="s">
        <v>60</v>
      </c>
      <c r="F35" s="2" t="s">
        <v>44</v>
      </c>
      <c r="G35" s="2" t="s">
        <v>26</v>
      </c>
      <c r="H35" s="3" t="s">
        <v>45</v>
      </c>
      <c r="I35" s="1" t="s">
        <v>27</v>
      </c>
    </row>
    <row r="36" spans="2:9" ht="14.4">
      <c r="B36" s="1" t="s">
        <v>65</v>
      </c>
      <c r="C36" s="1" t="s">
        <v>9</v>
      </c>
      <c r="D36" s="1" t="s">
        <v>10</v>
      </c>
      <c r="E36" s="2" t="s">
        <v>60</v>
      </c>
      <c r="F36" s="2" t="s">
        <v>44</v>
      </c>
      <c r="G36" s="2" t="s">
        <v>29</v>
      </c>
      <c r="H36" s="3" t="s">
        <v>45</v>
      </c>
      <c r="I36" s="1" t="s">
        <v>30</v>
      </c>
    </row>
    <row r="37" spans="2:9" ht="14.4">
      <c r="B37" s="1" t="s">
        <v>66</v>
      </c>
      <c r="C37" s="1" t="s">
        <v>9</v>
      </c>
      <c r="D37" s="1" t="s">
        <v>10</v>
      </c>
      <c r="E37" s="2" t="s">
        <v>60</v>
      </c>
      <c r="F37" s="2" t="s">
        <v>44</v>
      </c>
      <c r="G37" s="2" t="s">
        <v>32</v>
      </c>
      <c r="H37" s="3" t="s">
        <v>45</v>
      </c>
      <c r="I37" s="1" t="s">
        <v>33</v>
      </c>
    </row>
    <row r="38" spans="2:9" ht="14.4">
      <c r="B38" s="1" t="s">
        <v>67</v>
      </c>
      <c r="C38" s="1" t="s">
        <v>9</v>
      </c>
      <c r="D38" s="1" t="s">
        <v>10</v>
      </c>
      <c r="E38" s="2" t="s">
        <v>60</v>
      </c>
      <c r="F38" s="2" t="s">
        <v>12</v>
      </c>
      <c r="G38" s="2" t="s">
        <v>13</v>
      </c>
      <c r="H38" s="3" t="s">
        <v>14</v>
      </c>
      <c r="I38" s="1" t="s">
        <v>15</v>
      </c>
    </row>
    <row r="39" spans="2:9" ht="14.4">
      <c r="B39" s="1" t="s">
        <v>68</v>
      </c>
      <c r="C39" s="1" t="s">
        <v>9</v>
      </c>
      <c r="D39" s="1" t="s">
        <v>10</v>
      </c>
      <c r="E39" s="2" t="s">
        <v>60</v>
      </c>
      <c r="F39" s="2" t="s">
        <v>12</v>
      </c>
      <c r="G39" s="2" t="s">
        <v>17</v>
      </c>
      <c r="H39" s="3" t="s">
        <v>14</v>
      </c>
      <c r="I39" s="1" t="s">
        <v>18</v>
      </c>
    </row>
    <row r="40" spans="2:9" ht="14.4">
      <c r="B40" s="1" t="s">
        <v>69</v>
      </c>
      <c r="C40" s="1" t="s">
        <v>9</v>
      </c>
      <c r="D40" s="1" t="s">
        <v>10</v>
      </c>
      <c r="E40" s="2" t="s">
        <v>60</v>
      </c>
      <c r="F40" s="2" t="s">
        <v>12</v>
      </c>
      <c r="G40" s="2" t="s">
        <v>20</v>
      </c>
      <c r="H40" s="3" t="s">
        <v>14</v>
      </c>
      <c r="I40" s="1" t="s">
        <v>21</v>
      </c>
    </row>
    <row r="41" spans="2:9" ht="14.4">
      <c r="B41" s="1" t="s">
        <v>70</v>
      </c>
      <c r="C41" s="1" t="s">
        <v>9</v>
      </c>
      <c r="D41" s="1" t="s">
        <v>10</v>
      </c>
      <c r="E41" s="2" t="s">
        <v>60</v>
      </c>
      <c r="F41" s="2" t="s">
        <v>12</v>
      </c>
      <c r="G41" s="2" t="s">
        <v>23</v>
      </c>
      <c r="H41" s="3" t="s">
        <v>14</v>
      </c>
      <c r="I41" s="1" t="s">
        <v>24</v>
      </c>
    </row>
    <row r="42" spans="2:9" ht="14.4">
      <c r="B42" s="1" t="s">
        <v>71</v>
      </c>
      <c r="C42" s="1" t="s">
        <v>9</v>
      </c>
      <c r="D42" s="1" t="s">
        <v>10</v>
      </c>
      <c r="E42" s="2" t="s">
        <v>60</v>
      </c>
      <c r="F42" s="2" t="s">
        <v>12</v>
      </c>
      <c r="G42" s="2" t="s">
        <v>26</v>
      </c>
      <c r="H42" s="3" t="s">
        <v>14</v>
      </c>
      <c r="I42" s="1" t="s">
        <v>27</v>
      </c>
    </row>
    <row r="43" spans="2:9" ht="14.4">
      <c r="B43" s="1" t="s">
        <v>72</v>
      </c>
      <c r="C43" s="1" t="s">
        <v>9</v>
      </c>
      <c r="D43" s="1" t="s">
        <v>10</v>
      </c>
      <c r="E43" s="2" t="s">
        <v>60</v>
      </c>
      <c r="F43" s="2" t="s">
        <v>12</v>
      </c>
      <c r="G43" s="2" t="s">
        <v>29</v>
      </c>
      <c r="H43" s="3" t="s">
        <v>14</v>
      </c>
      <c r="I43" s="1" t="s">
        <v>30</v>
      </c>
    </row>
    <row r="44" spans="2:9" ht="14.4">
      <c r="B44" s="1" t="s">
        <v>73</v>
      </c>
      <c r="C44" s="1" t="s">
        <v>9</v>
      </c>
      <c r="D44" s="1" t="s">
        <v>10</v>
      </c>
      <c r="E44" s="2" t="s">
        <v>60</v>
      </c>
      <c r="F44" s="2" t="s">
        <v>12</v>
      </c>
      <c r="G44" s="2" t="s">
        <v>32</v>
      </c>
      <c r="H44" s="3" t="s">
        <v>14</v>
      </c>
      <c r="I44" s="1" t="s">
        <v>33</v>
      </c>
    </row>
    <row r="45" spans="2:9" ht="14.4">
      <c r="B45" s="1" t="s">
        <v>74</v>
      </c>
      <c r="C45" s="1" t="s">
        <v>9</v>
      </c>
      <c r="D45" s="1" t="s">
        <v>10</v>
      </c>
      <c r="E45" s="1" t="s">
        <v>75</v>
      </c>
      <c r="F45" s="2" t="s">
        <v>12</v>
      </c>
      <c r="G45" s="2" t="s">
        <v>13</v>
      </c>
      <c r="H45" s="4" t="s">
        <v>14</v>
      </c>
      <c r="I45" s="1" t="s">
        <v>15</v>
      </c>
    </row>
    <row r="46" spans="2:9" ht="14.4">
      <c r="B46" s="1" t="s">
        <v>76</v>
      </c>
      <c r="C46" s="1" t="s">
        <v>9</v>
      </c>
      <c r="D46" s="1" t="s">
        <v>10</v>
      </c>
      <c r="E46" s="1" t="s">
        <v>75</v>
      </c>
      <c r="F46" s="2" t="s">
        <v>12</v>
      </c>
      <c r="G46" s="2" t="s">
        <v>17</v>
      </c>
      <c r="H46" s="4" t="s">
        <v>14</v>
      </c>
      <c r="I46" s="1" t="s">
        <v>18</v>
      </c>
    </row>
    <row r="47" spans="2:9" ht="14.4">
      <c r="B47" s="1" t="s">
        <v>77</v>
      </c>
      <c r="C47" s="1" t="s">
        <v>9</v>
      </c>
      <c r="D47" s="1" t="s">
        <v>10</v>
      </c>
      <c r="E47" s="1" t="s">
        <v>75</v>
      </c>
      <c r="F47" s="2" t="s">
        <v>12</v>
      </c>
      <c r="G47" s="2" t="s">
        <v>20</v>
      </c>
      <c r="H47" s="4" t="s">
        <v>14</v>
      </c>
      <c r="I47" s="1" t="s">
        <v>21</v>
      </c>
    </row>
    <row r="48" spans="2:9" ht="14.4">
      <c r="B48" s="1" t="s">
        <v>78</v>
      </c>
      <c r="C48" s="1" t="s">
        <v>9</v>
      </c>
      <c r="D48" s="1" t="s">
        <v>10</v>
      </c>
      <c r="E48" s="1" t="s">
        <v>75</v>
      </c>
      <c r="F48" s="2" t="s">
        <v>12</v>
      </c>
      <c r="G48" s="2" t="s">
        <v>23</v>
      </c>
      <c r="H48" s="4" t="s">
        <v>14</v>
      </c>
      <c r="I48" s="1" t="s">
        <v>24</v>
      </c>
    </row>
    <row r="49" spans="2:9" ht="14.4">
      <c r="B49" s="1" t="s">
        <v>79</v>
      </c>
      <c r="C49" s="1" t="s">
        <v>9</v>
      </c>
      <c r="D49" s="1" t="s">
        <v>10</v>
      </c>
      <c r="E49" s="1" t="s">
        <v>75</v>
      </c>
      <c r="F49" s="2" t="s">
        <v>12</v>
      </c>
      <c r="G49" s="2" t="s">
        <v>26</v>
      </c>
      <c r="H49" s="4" t="s">
        <v>14</v>
      </c>
      <c r="I49" s="1" t="s">
        <v>27</v>
      </c>
    </row>
    <row r="50" spans="2:9" ht="14.4">
      <c r="B50" s="1" t="s">
        <v>80</v>
      </c>
      <c r="C50" s="1" t="s">
        <v>9</v>
      </c>
      <c r="D50" s="1" t="s">
        <v>10</v>
      </c>
      <c r="E50" s="1" t="s">
        <v>75</v>
      </c>
      <c r="F50" s="2" t="s">
        <v>12</v>
      </c>
      <c r="G50" s="2" t="s">
        <v>29</v>
      </c>
      <c r="H50" s="4" t="s">
        <v>14</v>
      </c>
      <c r="I50" s="1" t="s">
        <v>30</v>
      </c>
    </row>
    <row r="51" spans="2:9" ht="14.4">
      <c r="B51" s="1" t="s">
        <v>81</v>
      </c>
      <c r="C51" s="1" t="s">
        <v>9</v>
      </c>
      <c r="D51" s="1" t="s">
        <v>10</v>
      </c>
      <c r="E51" s="1" t="s">
        <v>75</v>
      </c>
      <c r="F51" s="2" t="s">
        <v>12</v>
      </c>
      <c r="G51" s="2" t="s">
        <v>32</v>
      </c>
      <c r="H51" s="4" t="s">
        <v>14</v>
      </c>
      <c r="I51" s="1" t="s">
        <v>33</v>
      </c>
    </row>
    <row r="52" spans="2:9" ht="14.4">
      <c r="B52" s="1" t="s">
        <v>82</v>
      </c>
      <c r="C52" s="1" t="s">
        <v>9</v>
      </c>
      <c r="D52" s="1" t="s">
        <v>10</v>
      </c>
      <c r="E52" s="1" t="s">
        <v>75</v>
      </c>
      <c r="F52" s="2" t="s">
        <v>12</v>
      </c>
      <c r="G52" s="2" t="s">
        <v>83</v>
      </c>
      <c r="H52" s="4" t="s">
        <v>14</v>
      </c>
      <c r="I52" s="1" t="s">
        <v>84</v>
      </c>
    </row>
    <row r="53" spans="2:9" ht="14.4">
      <c r="B53" s="1" t="s">
        <v>85</v>
      </c>
      <c r="C53" s="1" t="s">
        <v>9</v>
      </c>
      <c r="D53" s="1" t="s">
        <v>86</v>
      </c>
      <c r="E53" s="2" t="s">
        <v>87</v>
      </c>
      <c r="F53" s="2" t="s">
        <v>88</v>
      </c>
      <c r="G53" s="2" t="s">
        <v>29</v>
      </c>
      <c r="H53" s="1" t="s">
        <v>89</v>
      </c>
      <c r="I53" s="1" t="s">
        <v>90</v>
      </c>
    </row>
    <row r="54" spans="2:9" ht="14.4">
      <c r="B54" s="1" t="s">
        <v>91</v>
      </c>
      <c r="C54" s="1" t="s">
        <v>9</v>
      </c>
      <c r="D54" s="1" t="s">
        <v>86</v>
      </c>
      <c r="E54" s="2" t="s">
        <v>87</v>
      </c>
      <c r="F54" s="2" t="s">
        <v>88</v>
      </c>
      <c r="G54" s="2" t="s">
        <v>23</v>
      </c>
      <c r="H54" s="1" t="s">
        <v>89</v>
      </c>
      <c r="I54" s="1" t="s">
        <v>92</v>
      </c>
    </row>
    <row r="55" spans="2:9" ht="14.4">
      <c r="B55" s="1" t="s">
        <v>93</v>
      </c>
      <c r="C55" s="1" t="s">
        <v>9</v>
      </c>
      <c r="D55" s="1" t="s">
        <v>86</v>
      </c>
      <c r="E55" s="2" t="s">
        <v>87</v>
      </c>
      <c r="F55" s="2" t="s">
        <v>88</v>
      </c>
      <c r="G55" s="2" t="s">
        <v>26</v>
      </c>
      <c r="H55" s="1" t="s">
        <v>89</v>
      </c>
      <c r="I55" s="1" t="s">
        <v>94</v>
      </c>
    </row>
    <row r="56" spans="2:9" ht="14.4">
      <c r="B56" s="1" t="s">
        <v>95</v>
      </c>
      <c r="C56" s="1" t="s">
        <v>9</v>
      </c>
      <c r="D56" s="1" t="s">
        <v>86</v>
      </c>
      <c r="E56" s="2" t="s">
        <v>87</v>
      </c>
      <c r="F56" s="2" t="s">
        <v>88</v>
      </c>
      <c r="G56" s="2" t="s">
        <v>32</v>
      </c>
      <c r="H56" s="1" t="s">
        <v>89</v>
      </c>
      <c r="I56" s="1" t="s">
        <v>96</v>
      </c>
    </row>
    <row r="57" spans="2:9" ht="14.4">
      <c r="B57" s="1" t="s">
        <v>97</v>
      </c>
      <c r="C57" s="1" t="s">
        <v>9</v>
      </c>
      <c r="D57" s="1" t="s">
        <v>86</v>
      </c>
      <c r="E57" s="2" t="s">
        <v>87</v>
      </c>
      <c r="F57" s="2" t="s">
        <v>88</v>
      </c>
      <c r="G57" s="2" t="s">
        <v>13</v>
      </c>
      <c r="H57" s="1" t="s">
        <v>89</v>
      </c>
      <c r="I57" s="1" t="s">
        <v>98</v>
      </c>
    </row>
    <row r="58" spans="2:9" ht="14.4">
      <c r="B58" s="1" t="s">
        <v>99</v>
      </c>
      <c r="C58" s="1" t="s">
        <v>9</v>
      </c>
      <c r="D58" s="1" t="s">
        <v>10</v>
      </c>
      <c r="E58" s="2" t="s">
        <v>60</v>
      </c>
      <c r="F58" s="2" t="s">
        <v>12</v>
      </c>
      <c r="G58" s="1" t="s">
        <v>100</v>
      </c>
      <c r="H58" s="1" t="s">
        <v>14</v>
      </c>
      <c r="I58" s="1" t="s">
        <v>101</v>
      </c>
    </row>
    <row r="59" spans="2:9" ht="14.4">
      <c r="B59" s="1" t="s">
        <v>102</v>
      </c>
      <c r="C59" s="1" t="s">
        <v>9</v>
      </c>
      <c r="D59" s="1" t="s">
        <v>10</v>
      </c>
      <c r="E59" s="2" t="s">
        <v>60</v>
      </c>
      <c r="F59" s="2" t="s">
        <v>12</v>
      </c>
      <c r="G59" s="1" t="s">
        <v>103</v>
      </c>
      <c r="H59" s="1" t="s">
        <v>14</v>
      </c>
      <c r="I59" s="1" t="s">
        <v>104</v>
      </c>
    </row>
    <row r="60" spans="2:9" ht="14.4">
      <c r="B60" s="1" t="s">
        <v>105</v>
      </c>
      <c r="C60" s="1" t="s">
        <v>9</v>
      </c>
      <c r="D60" s="1" t="s">
        <v>10</v>
      </c>
      <c r="E60" s="2" t="s">
        <v>60</v>
      </c>
      <c r="F60" s="2" t="s">
        <v>12</v>
      </c>
      <c r="G60" s="1" t="s">
        <v>106</v>
      </c>
      <c r="H60" s="1" t="s">
        <v>14</v>
      </c>
      <c r="I60" s="1" t="s">
        <v>107</v>
      </c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275B-5ED6-4BE8-87D2-B824F48232CE}">
  <dimension ref="A1:S108"/>
  <sheetViews>
    <sheetView workbookViewId="0"/>
  </sheetViews>
  <sheetFormatPr defaultColWidth="8.77734375" defaultRowHeight="13.8"/>
  <cols>
    <col min="1" max="1" width="23.77734375" bestFit="1" customWidth="1"/>
    <col min="2" max="2" width="19.33203125" bestFit="1" customWidth="1"/>
    <col min="3" max="3" width="19.109375" bestFit="1" customWidth="1"/>
    <col min="4" max="4" width="21.6640625" bestFit="1" customWidth="1"/>
    <col min="5" max="5" width="37.6640625" bestFit="1" customWidth="1"/>
    <col min="6" max="6" width="15.6640625" bestFit="1" customWidth="1"/>
    <col min="7" max="7" width="12.6640625" bestFit="1" customWidth="1"/>
    <col min="8" max="8" width="17.77734375" bestFit="1" customWidth="1"/>
    <col min="9" max="9" width="15" bestFit="1" customWidth="1"/>
    <col min="10" max="10" width="16.44140625" bestFit="1" customWidth="1"/>
    <col min="11" max="11" width="9.109375" bestFit="1" customWidth="1"/>
    <col min="13" max="13" width="10.77734375" bestFit="1" customWidth="1"/>
    <col min="14" max="14" width="14.44140625" bestFit="1" customWidth="1"/>
    <col min="15" max="15" width="10.109375" bestFit="1" customWidth="1"/>
    <col min="16" max="16" width="16.6640625" bestFit="1" customWidth="1"/>
    <col min="17" max="17" width="16" bestFit="1" customWidth="1"/>
    <col min="18" max="18" width="26.109375" bestFit="1" customWidth="1"/>
    <col min="19" max="19" width="17.33203125" bestFit="1" customWidth="1"/>
  </cols>
  <sheetData>
    <row r="1" spans="1:19">
      <c r="A1" s="35" t="s">
        <v>108</v>
      </c>
    </row>
    <row r="3" spans="1:19">
      <c r="A3" t="s">
        <v>109</v>
      </c>
      <c r="B3" t="s">
        <v>110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  <c r="H3" t="s">
        <v>116</v>
      </c>
      <c r="I3" t="s">
        <v>117</v>
      </c>
      <c r="J3" t="s">
        <v>118</v>
      </c>
      <c r="K3" t="s">
        <v>119</v>
      </c>
      <c r="L3" t="s">
        <v>120</v>
      </c>
      <c r="M3" t="s">
        <v>121</v>
      </c>
      <c r="N3" t="s">
        <v>122</v>
      </c>
      <c r="O3" t="s">
        <v>123</v>
      </c>
      <c r="P3" t="s">
        <v>124</v>
      </c>
      <c r="Q3" t="s">
        <v>125</v>
      </c>
      <c r="R3" t="s">
        <v>126</v>
      </c>
      <c r="S3" t="s">
        <v>127</v>
      </c>
    </row>
    <row r="4" spans="1:19">
      <c r="A4" t="s">
        <v>128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>
        <v>2024</v>
      </c>
      <c r="H4" t="s">
        <v>77</v>
      </c>
      <c r="I4" t="s">
        <v>134</v>
      </c>
      <c r="P4">
        <v>0</v>
      </c>
    </row>
    <row r="5" spans="1:19">
      <c r="A5" t="s">
        <v>128</v>
      </c>
      <c r="B5" t="s">
        <v>129</v>
      </c>
      <c r="C5" t="s">
        <v>130</v>
      </c>
      <c r="D5" t="s">
        <v>135</v>
      </c>
      <c r="E5" t="s">
        <v>136</v>
      </c>
      <c r="F5" t="s">
        <v>133</v>
      </c>
      <c r="G5">
        <v>2024</v>
      </c>
      <c r="H5" t="s">
        <v>77</v>
      </c>
      <c r="I5" t="s">
        <v>137</v>
      </c>
      <c r="P5">
        <v>0</v>
      </c>
    </row>
    <row r="6" spans="1:19">
      <c r="A6" t="s">
        <v>138</v>
      </c>
      <c r="B6" t="s">
        <v>139</v>
      </c>
      <c r="C6" t="s">
        <v>130</v>
      </c>
      <c r="D6" t="s">
        <v>140</v>
      </c>
      <c r="E6" t="s">
        <v>141</v>
      </c>
      <c r="F6" t="s">
        <v>142</v>
      </c>
      <c r="G6">
        <v>2026</v>
      </c>
      <c r="H6" t="s">
        <v>143</v>
      </c>
      <c r="I6" t="s">
        <v>144</v>
      </c>
    </row>
    <row r="7" spans="1:19">
      <c r="A7" t="s">
        <v>138</v>
      </c>
      <c r="B7" t="s">
        <v>139</v>
      </c>
      <c r="C7" t="s">
        <v>130</v>
      </c>
      <c r="D7" t="s">
        <v>145</v>
      </c>
      <c r="E7" t="s">
        <v>146</v>
      </c>
      <c r="F7" t="s">
        <v>142</v>
      </c>
      <c r="G7">
        <v>2026</v>
      </c>
      <c r="H7" t="s">
        <v>143</v>
      </c>
      <c r="I7" t="s">
        <v>144</v>
      </c>
    </row>
    <row r="8" spans="1:19">
      <c r="A8" t="s">
        <v>138</v>
      </c>
      <c r="B8" t="s">
        <v>139</v>
      </c>
      <c r="C8" t="s">
        <v>130</v>
      </c>
      <c r="D8" t="s">
        <v>147</v>
      </c>
      <c r="E8" t="s">
        <v>148</v>
      </c>
      <c r="F8" t="s">
        <v>142</v>
      </c>
      <c r="G8">
        <v>2026</v>
      </c>
      <c r="H8" t="s">
        <v>143</v>
      </c>
      <c r="I8" t="s">
        <v>144</v>
      </c>
    </row>
    <row r="9" spans="1:19">
      <c r="A9" t="s">
        <v>138</v>
      </c>
      <c r="B9" t="s">
        <v>139</v>
      </c>
      <c r="C9" t="s">
        <v>130</v>
      </c>
      <c r="D9" t="s">
        <v>149</v>
      </c>
      <c r="E9" t="s">
        <v>150</v>
      </c>
      <c r="F9" t="s">
        <v>142</v>
      </c>
      <c r="G9">
        <v>2026</v>
      </c>
      <c r="H9" t="s">
        <v>143</v>
      </c>
      <c r="I9" t="s">
        <v>144</v>
      </c>
    </row>
    <row r="10" spans="1:19">
      <c r="A10" t="s">
        <v>138</v>
      </c>
      <c r="B10" t="s">
        <v>139</v>
      </c>
      <c r="C10" t="s">
        <v>130</v>
      </c>
      <c r="D10" t="s">
        <v>151</v>
      </c>
      <c r="E10" t="s">
        <v>152</v>
      </c>
      <c r="F10" t="s">
        <v>142</v>
      </c>
      <c r="G10">
        <v>2026</v>
      </c>
      <c r="H10" t="s">
        <v>143</v>
      </c>
      <c r="I10" t="s">
        <v>144</v>
      </c>
    </row>
    <row r="11" spans="1:19">
      <c r="A11" t="s">
        <v>138</v>
      </c>
      <c r="B11" t="s">
        <v>139</v>
      </c>
      <c r="C11" t="s">
        <v>130</v>
      </c>
      <c r="D11" t="s">
        <v>153</v>
      </c>
      <c r="E11" t="s">
        <v>154</v>
      </c>
      <c r="F11" t="s">
        <v>142</v>
      </c>
      <c r="G11">
        <v>2026</v>
      </c>
      <c r="H11" t="s">
        <v>143</v>
      </c>
      <c r="I11" t="s">
        <v>144</v>
      </c>
    </row>
    <row r="12" spans="1:19">
      <c r="A12" t="s">
        <v>138</v>
      </c>
      <c r="B12" t="s">
        <v>139</v>
      </c>
      <c r="C12" t="s">
        <v>130</v>
      </c>
      <c r="D12" t="s">
        <v>155</v>
      </c>
      <c r="E12" t="s">
        <v>156</v>
      </c>
      <c r="F12" t="s">
        <v>142</v>
      </c>
      <c r="G12">
        <v>2026</v>
      </c>
      <c r="H12" t="s">
        <v>143</v>
      </c>
      <c r="I12" t="s">
        <v>144</v>
      </c>
    </row>
    <row r="13" spans="1:19">
      <c r="A13" t="s">
        <v>138</v>
      </c>
      <c r="B13" t="s">
        <v>139</v>
      </c>
      <c r="C13" t="s">
        <v>130</v>
      </c>
      <c r="D13" t="s">
        <v>157</v>
      </c>
      <c r="E13" t="s">
        <v>158</v>
      </c>
      <c r="F13" t="s">
        <v>142</v>
      </c>
      <c r="G13">
        <v>2026</v>
      </c>
      <c r="H13" t="s">
        <v>143</v>
      </c>
      <c r="I13" t="s">
        <v>144</v>
      </c>
    </row>
    <row r="14" spans="1:19">
      <c r="A14" t="s">
        <v>138</v>
      </c>
      <c r="B14" t="s">
        <v>139</v>
      </c>
      <c r="C14" t="s">
        <v>130</v>
      </c>
      <c r="D14" t="s">
        <v>159</v>
      </c>
      <c r="E14" t="s">
        <v>160</v>
      </c>
      <c r="F14" t="s">
        <v>142</v>
      </c>
      <c r="G14">
        <v>2026</v>
      </c>
      <c r="H14" t="s">
        <v>143</v>
      </c>
      <c r="I14" t="s">
        <v>144</v>
      </c>
    </row>
    <row r="15" spans="1:19">
      <c r="A15" t="s">
        <v>128</v>
      </c>
      <c r="B15" t="s">
        <v>161</v>
      </c>
      <c r="C15" t="s">
        <v>130</v>
      </c>
      <c r="D15" t="s">
        <v>162</v>
      </c>
      <c r="E15" t="s">
        <v>163</v>
      </c>
      <c r="F15" t="s">
        <v>133</v>
      </c>
      <c r="G15">
        <v>2024</v>
      </c>
      <c r="H15" t="s">
        <v>79</v>
      </c>
      <c r="I15" t="s">
        <v>164</v>
      </c>
      <c r="P15">
        <v>0</v>
      </c>
    </row>
    <row r="16" spans="1:19">
      <c r="A16" t="s">
        <v>165</v>
      </c>
      <c r="B16" t="s">
        <v>166</v>
      </c>
      <c r="C16" t="s">
        <v>130</v>
      </c>
      <c r="D16" t="s">
        <v>167</v>
      </c>
      <c r="E16" t="s">
        <v>168</v>
      </c>
      <c r="F16" t="s">
        <v>169</v>
      </c>
      <c r="G16">
        <v>2026</v>
      </c>
      <c r="H16" t="s">
        <v>170</v>
      </c>
      <c r="I16" t="s">
        <v>144</v>
      </c>
    </row>
    <row r="17" spans="1:9">
      <c r="A17" t="s">
        <v>165</v>
      </c>
      <c r="B17" t="s">
        <v>166</v>
      </c>
      <c r="C17" t="s">
        <v>130</v>
      </c>
      <c r="D17" t="s">
        <v>171</v>
      </c>
      <c r="E17" t="s">
        <v>172</v>
      </c>
      <c r="F17" t="s">
        <v>169</v>
      </c>
      <c r="G17">
        <v>2026</v>
      </c>
      <c r="H17" t="s">
        <v>170</v>
      </c>
      <c r="I17" t="s">
        <v>144</v>
      </c>
    </row>
    <row r="18" spans="1:9">
      <c r="A18" t="s">
        <v>165</v>
      </c>
      <c r="B18" t="s">
        <v>166</v>
      </c>
      <c r="C18" t="s">
        <v>130</v>
      </c>
      <c r="D18" t="s">
        <v>173</v>
      </c>
      <c r="E18" t="s">
        <v>174</v>
      </c>
      <c r="F18" t="s">
        <v>169</v>
      </c>
      <c r="G18">
        <v>2026</v>
      </c>
      <c r="H18" t="s">
        <v>170</v>
      </c>
      <c r="I18" t="s">
        <v>144</v>
      </c>
    </row>
    <row r="19" spans="1:9">
      <c r="A19" t="s">
        <v>175</v>
      </c>
      <c r="B19" t="s">
        <v>166</v>
      </c>
      <c r="C19" t="s">
        <v>130</v>
      </c>
      <c r="D19" t="s">
        <v>176</v>
      </c>
      <c r="E19" t="s">
        <v>177</v>
      </c>
      <c r="F19" t="s">
        <v>169</v>
      </c>
      <c r="G19">
        <v>2026</v>
      </c>
      <c r="H19" t="s">
        <v>170</v>
      </c>
      <c r="I19" t="s">
        <v>144</v>
      </c>
    </row>
    <row r="20" spans="1:9">
      <c r="A20" t="s">
        <v>175</v>
      </c>
      <c r="B20" t="s">
        <v>166</v>
      </c>
      <c r="C20" t="s">
        <v>130</v>
      </c>
      <c r="D20" t="s">
        <v>178</v>
      </c>
      <c r="E20" t="s">
        <v>179</v>
      </c>
      <c r="F20" t="s">
        <v>169</v>
      </c>
      <c r="G20">
        <v>2026</v>
      </c>
      <c r="H20" t="s">
        <v>170</v>
      </c>
      <c r="I20" t="s">
        <v>144</v>
      </c>
    </row>
    <row r="21" spans="1:9">
      <c r="A21" t="s">
        <v>175</v>
      </c>
      <c r="B21" t="s">
        <v>166</v>
      </c>
      <c r="C21" t="s">
        <v>130</v>
      </c>
      <c r="D21" t="s">
        <v>180</v>
      </c>
      <c r="E21" t="s">
        <v>181</v>
      </c>
      <c r="F21" t="s">
        <v>169</v>
      </c>
      <c r="G21">
        <v>2026</v>
      </c>
      <c r="H21" t="s">
        <v>170</v>
      </c>
      <c r="I21" t="s">
        <v>144</v>
      </c>
    </row>
    <row r="22" spans="1:9">
      <c r="A22" t="s">
        <v>175</v>
      </c>
      <c r="B22" t="s">
        <v>166</v>
      </c>
      <c r="C22" t="s">
        <v>130</v>
      </c>
      <c r="D22" t="s">
        <v>182</v>
      </c>
      <c r="E22" t="s">
        <v>183</v>
      </c>
      <c r="F22" t="s">
        <v>169</v>
      </c>
      <c r="G22">
        <v>2026</v>
      </c>
      <c r="H22" t="s">
        <v>170</v>
      </c>
      <c r="I22" t="s">
        <v>144</v>
      </c>
    </row>
    <row r="23" spans="1:9">
      <c r="A23" t="s">
        <v>175</v>
      </c>
      <c r="B23" t="s">
        <v>166</v>
      </c>
      <c r="C23" t="s">
        <v>130</v>
      </c>
      <c r="D23" t="s">
        <v>184</v>
      </c>
      <c r="E23" t="s">
        <v>185</v>
      </c>
      <c r="F23" t="s">
        <v>169</v>
      </c>
      <c r="G23">
        <v>2026</v>
      </c>
      <c r="H23" t="s">
        <v>170</v>
      </c>
      <c r="I23" t="s">
        <v>144</v>
      </c>
    </row>
    <row r="24" spans="1:9">
      <c r="A24" t="s">
        <v>175</v>
      </c>
      <c r="B24" t="s">
        <v>166</v>
      </c>
      <c r="C24" t="s">
        <v>130</v>
      </c>
      <c r="D24" t="s">
        <v>186</v>
      </c>
      <c r="E24" t="s">
        <v>187</v>
      </c>
      <c r="F24" t="s">
        <v>169</v>
      </c>
      <c r="G24">
        <v>2026</v>
      </c>
      <c r="H24" t="s">
        <v>170</v>
      </c>
      <c r="I24" t="s">
        <v>144</v>
      </c>
    </row>
    <row r="25" spans="1:9">
      <c r="A25" t="s">
        <v>175</v>
      </c>
      <c r="B25" t="s">
        <v>166</v>
      </c>
      <c r="C25" t="s">
        <v>130</v>
      </c>
      <c r="D25" t="s">
        <v>188</v>
      </c>
      <c r="E25" t="s">
        <v>189</v>
      </c>
      <c r="F25" t="s">
        <v>169</v>
      </c>
      <c r="G25">
        <v>2026</v>
      </c>
      <c r="H25" t="s">
        <v>170</v>
      </c>
      <c r="I25" t="s">
        <v>144</v>
      </c>
    </row>
    <row r="26" spans="1:9">
      <c r="A26" t="s">
        <v>175</v>
      </c>
      <c r="B26" t="s">
        <v>166</v>
      </c>
      <c r="C26" t="s">
        <v>130</v>
      </c>
      <c r="D26" t="s">
        <v>190</v>
      </c>
      <c r="E26" t="s">
        <v>191</v>
      </c>
      <c r="F26" t="s">
        <v>169</v>
      </c>
      <c r="G26">
        <v>2026</v>
      </c>
      <c r="H26" t="s">
        <v>170</v>
      </c>
      <c r="I26" t="s">
        <v>144</v>
      </c>
    </row>
    <row r="27" spans="1:9">
      <c r="A27" t="s">
        <v>175</v>
      </c>
      <c r="B27" t="s">
        <v>166</v>
      </c>
      <c r="C27" t="s">
        <v>130</v>
      </c>
      <c r="D27" t="s">
        <v>192</v>
      </c>
      <c r="E27" t="s">
        <v>193</v>
      </c>
      <c r="F27" t="s">
        <v>169</v>
      </c>
      <c r="G27">
        <v>2026</v>
      </c>
      <c r="H27" t="s">
        <v>170</v>
      </c>
      <c r="I27" t="s">
        <v>144</v>
      </c>
    </row>
    <row r="28" spans="1:9">
      <c r="A28" t="s">
        <v>175</v>
      </c>
      <c r="B28" t="s">
        <v>166</v>
      </c>
      <c r="C28" t="s">
        <v>130</v>
      </c>
      <c r="D28" t="s">
        <v>194</v>
      </c>
      <c r="E28" t="s">
        <v>195</v>
      </c>
      <c r="F28" t="s">
        <v>169</v>
      </c>
      <c r="G28">
        <v>2026</v>
      </c>
      <c r="H28" t="s">
        <v>170</v>
      </c>
      <c r="I28" t="s">
        <v>144</v>
      </c>
    </row>
    <row r="29" spans="1:9">
      <c r="A29" t="s">
        <v>175</v>
      </c>
      <c r="B29" t="s">
        <v>166</v>
      </c>
      <c r="C29" t="s">
        <v>130</v>
      </c>
      <c r="D29" t="s">
        <v>196</v>
      </c>
      <c r="E29" t="s">
        <v>197</v>
      </c>
      <c r="F29" t="s">
        <v>169</v>
      </c>
      <c r="G29">
        <v>2026</v>
      </c>
      <c r="H29" t="s">
        <v>170</v>
      </c>
      <c r="I29" t="s">
        <v>144</v>
      </c>
    </row>
    <row r="30" spans="1:9">
      <c r="A30" t="s">
        <v>175</v>
      </c>
      <c r="B30" t="s">
        <v>166</v>
      </c>
      <c r="C30" t="s">
        <v>130</v>
      </c>
      <c r="D30" t="s">
        <v>198</v>
      </c>
      <c r="E30" t="s">
        <v>199</v>
      </c>
      <c r="F30" t="s">
        <v>169</v>
      </c>
      <c r="G30">
        <v>2026</v>
      </c>
      <c r="H30" t="s">
        <v>170</v>
      </c>
      <c r="I30" t="s">
        <v>144</v>
      </c>
    </row>
    <row r="31" spans="1:9">
      <c r="A31" t="s">
        <v>175</v>
      </c>
      <c r="B31" t="s">
        <v>166</v>
      </c>
      <c r="C31" t="s">
        <v>130</v>
      </c>
      <c r="D31" t="s">
        <v>200</v>
      </c>
      <c r="E31" t="s">
        <v>201</v>
      </c>
      <c r="F31" t="s">
        <v>169</v>
      </c>
      <c r="G31">
        <v>2026</v>
      </c>
      <c r="H31" t="s">
        <v>170</v>
      </c>
      <c r="I31" t="s">
        <v>144</v>
      </c>
    </row>
    <row r="32" spans="1:9">
      <c r="A32" t="s">
        <v>175</v>
      </c>
      <c r="B32" t="s">
        <v>166</v>
      </c>
      <c r="C32" t="s">
        <v>130</v>
      </c>
      <c r="D32" t="s">
        <v>202</v>
      </c>
      <c r="E32" t="s">
        <v>203</v>
      </c>
      <c r="F32" t="s">
        <v>169</v>
      </c>
      <c r="G32">
        <v>2026</v>
      </c>
      <c r="H32" t="s">
        <v>170</v>
      </c>
      <c r="I32" t="s">
        <v>144</v>
      </c>
    </row>
    <row r="33" spans="1:15">
      <c r="A33" t="s">
        <v>175</v>
      </c>
      <c r="B33" t="s">
        <v>166</v>
      </c>
      <c r="C33" t="s">
        <v>130</v>
      </c>
      <c r="D33" t="s">
        <v>204</v>
      </c>
      <c r="E33" t="s">
        <v>205</v>
      </c>
      <c r="F33" t="s">
        <v>169</v>
      </c>
      <c r="G33">
        <v>2026</v>
      </c>
      <c r="H33" t="s">
        <v>170</v>
      </c>
      <c r="I33" t="s">
        <v>144</v>
      </c>
    </row>
    <row r="34" spans="1:15">
      <c r="A34" t="s">
        <v>175</v>
      </c>
      <c r="B34" t="s">
        <v>166</v>
      </c>
      <c r="C34" t="s">
        <v>130</v>
      </c>
      <c r="D34" t="s">
        <v>206</v>
      </c>
      <c r="E34" t="s">
        <v>207</v>
      </c>
      <c r="F34" t="s">
        <v>169</v>
      </c>
      <c r="G34">
        <v>2026</v>
      </c>
      <c r="H34" t="s">
        <v>170</v>
      </c>
      <c r="I34" t="s">
        <v>144</v>
      </c>
    </row>
    <row r="35" spans="1:15">
      <c r="A35" t="s">
        <v>175</v>
      </c>
      <c r="B35" t="s">
        <v>166</v>
      </c>
      <c r="C35" t="s">
        <v>130</v>
      </c>
      <c r="D35" t="s">
        <v>208</v>
      </c>
      <c r="E35" t="s">
        <v>209</v>
      </c>
      <c r="F35" t="s">
        <v>169</v>
      </c>
      <c r="G35">
        <v>2026</v>
      </c>
      <c r="H35" t="s">
        <v>170</v>
      </c>
      <c r="I35" t="s">
        <v>144</v>
      </c>
    </row>
    <row r="36" spans="1:15">
      <c r="A36" t="s">
        <v>175</v>
      </c>
      <c r="B36" t="s">
        <v>166</v>
      </c>
      <c r="C36" t="s">
        <v>130</v>
      </c>
      <c r="D36" t="s">
        <v>210</v>
      </c>
      <c r="E36" t="s">
        <v>211</v>
      </c>
      <c r="F36" t="s">
        <v>169</v>
      </c>
      <c r="G36">
        <v>2026</v>
      </c>
      <c r="H36" t="s">
        <v>170</v>
      </c>
      <c r="I36" t="s">
        <v>144</v>
      </c>
    </row>
    <row r="37" spans="1:15">
      <c r="A37" t="s">
        <v>175</v>
      </c>
      <c r="B37" t="s">
        <v>166</v>
      </c>
      <c r="C37" t="s">
        <v>130</v>
      </c>
      <c r="D37" t="s">
        <v>212</v>
      </c>
      <c r="E37" t="s">
        <v>213</v>
      </c>
      <c r="F37" t="s">
        <v>169</v>
      </c>
      <c r="G37">
        <v>2026</v>
      </c>
      <c r="H37" t="s">
        <v>170</v>
      </c>
      <c r="I37" t="s">
        <v>144</v>
      </c>
      <c r="O37" t="s">
        <v>214</v>
      </c>
    </row>
    <row r="38" spans="1:15">
      <c r="A38" t="s">
        <v>175</v>
      </c>
      <c r="B38" t="s">
        <v>166</v>
      </c>
      <c r="C38" t="s">
        <v>130</v>
      </c>
      <c r="D38" t="s">
        <v>215</v>
      </c>
      <c r="E38" t="s">
        <v>216</v>
      </c>
      <c r="F38" t="s">
        <v>169</v>
      </c>
      <c r="G38">
        <v>2026</v>
      </c>
      <c r="H38" t="s">
        <v>170</v>
      </c>
      <c r="I38" t="s">
        <v>144</v>
      </c>
    </row>
    <row r="39" spans="1:15">
      <c r="A39" t="s">
        <v>175</v>
      </c>
      <c r="B39" t="s">
        <v>166</v>
      </c>
      <c r="C39" t="s">
        <v>130</v>
      </c>
      <c r="D39" t="s">
        <v>217</v>
      </c>
      <c r="E39" t="s">
        <v>218</v>
      </c>
      <c r="F39" t="s">
        <v>169</v>
      </c>
      <c r="G39">
        <v>2026</v>
      </c>
      <c r="H39" t="s">
        <v>170</v>
      </c>
      <c r="I39" t="s">
        <v>144</v>
      </c>
      <c r="O39" t="s">
        <v>214</v>
      </c>
    </row>
    <row r="40" spans="1:15">
      <c r="A40" t="s">
        <v>175</v>
      </c>
      <c r="B40" t="s">
        <v>166</v>
      </c>
      <c r="C40" t="s">
        <v>130</v>
      </c>
      <c r="D40" t="s">
        <v>219</v>
      </c>
      <c r="E40" t="s">
        <v>220</v>
      </c>
      <c r="F40" t="s">
        <v>169</v>
      </c>
      <c r="G40">
        <v>2026</v>
      </c>
      <c r="H40" t="s">
        <v>170</v>
      </c>
      <c r="I40" t="s">
        <v>144</v>
      </c>
      <c r="O40" t="s">
        <v>214</v>
      </c>
    </row>
    <row r="41" spans="1:15">
      <c r="A41" t="s">
        <v>175</v>
      </c>
      <c r="B41" t="s">
        <v>166</v>
      </c>
      <c r="C41" t="s">
        <v>130</v>
      </c>
      <c r="D41" t="s">
        <v>221</v>
      </c>
      <c r="E41" t="s">
        <v>222</v>
      </c>
      <c r="F41" t="s">
        <v>169</v>
      </c>
      <c r="G41">
        <v>2026</v>
      </c>
      <c r="H41" t="s">
        <v>170</v>
      </c>
      <c r="I41" t="s">
        <v>144</v>
      </c>
      <c r="O41" t="s">
        <v>214</v>
      </c>
    </row>
    <row r="42" spans="1:15">
      <c r="A42" t="s">
        <v>175</v>
      </c>
      <c r="B42" t="s">
        <v>166</v>
      </c>
      <c r="C42" t="s">
        <v>130</v>
      </c>
      <c r="D42" t="s">
        <v>223</v>
      </c>
      <c r="E42" t="s">
        <v>224</v>
      </c>
      <c r="F42" t="s">
        <v>169</v>
      </c>
      <c r="G42">
        <v>2026</v>
      </c>
      <c r="H42" t="s">
        <v>170</v>
      </c>
      <c r="I42" t="s">
        <v>144</v>
      </c>
    </row>
    <row r="43" spans="1:15">
      <c r="A43" t="s">
        <v>175</v>
      </c>
      <c r="B43" t="s">
        <v>166</v>
      </c>
      <c r="C43" t="s">
        <v>130</v>
      </c>
      <c r="D43" t="s">
        <v>225</v>
      </c>
      <c r="E43" t="s">
        <v>226</v>
      </c>
      <c r="F43" t="s">
        <v>169</v>
      </c>
      <c r="G43">
        <v>2026</v>
      </c>
      <c r="H43" t="s">
        <v>170</v>
      </c>
      <c r="I43" t="s">
        <v>144</v>
      </c>
    </row>
    <row r="44" spans="1:15">
      <c r="A44" t="s">
        <v>175</v>
      </c>
      <c r="B44" t="s">
        <v>166</v>
      </c>
      <c r="C44" t="s">
        <v>130</v>
      </c>
      <c r="D44" t="s">
        <v>227</v>
      </c>
      <c r="E44" t="s">
        <v>228</v>
      </c>
      <c r="F44" t="s">
        <v>169</v>
      </c>
      <c r="G44">
        <v>2026</v>
      </c>
      <c r="H44" t="s">
        <v>170</v>
      </c>
      <c r="I44" t="s">
        <v>144</v>
      </c>
    </row>
    <row r="45" spans="1:15">
      <c r="A45" t="s">
        <v>175</v>
      </c>
      <c r="B45" t="s">
        <v>166</v>
      </c>
      <c r="C45" t="s">
        <v>130</v>
      </c>
      <c r="D45" t="s">
        <v>229</v>
      </c>
      <c r="E45" t="s">
        <v>230</v>
      </c>
      <c r="F45" t="s">
        <v>169</v>
      </c>
      <c r="G45">
        <v>2026</v>
      </c>
      <c r="H45" t="s">
        <v>170</v>
      </c>
      <c r="I45" t="s">
        <v>144</v>
      </c>
    </row>
    <row r="46" spans="1:15">
      <c r="A46" t="s">
        <v>175</v>
      </c>
      <c r="B46" t="s">
        <v>166</v>
      </c>
      <c r="C46" t="s">
        <v>130</v>
      </c>
      <c r="D46" t="s">
        <v>231</v>
      </c>
      <c r="E46" t="s">
        <v>232</v>
      </c>
      <c r="F46" t="s">
        <v>169</v>
      </c>
      <c r="G46">
        <v>2026</v>
      </c>
      <c r="H46" t="s">
        <v>170</v>
      </c>
      <c r="I46" t="s">
        <v>144</v>
      </c>
    </row>
    <row r="47" spans="1:15">
      <c r="A47" t="s">
        <v>175</v>
      </c>
      <c r="B47" t="s">
        <v>166</v>
      </c>
      <c r="C47" t="s">
        <v>130</v>
      </c>
      <c r="D47" t="s">
        <v>233</v>
      </c>
      <c r="E47" t="s">
        <v>234</v>
      </c>
      <c r="F47" t="s">
        <v>169</v>
      </c>
      <c r="G47">
        <v>2026</v>
      </c>
      <c r="H47" t="s">
        <v>170</v>
      </c>
      <c r="I47" t="s">
        <v>144</v>
      </c>
      <c r="O47" t="s">
        <v>214</v>
      </c>
    </row>
    <row r="48" spans="1:15">
      <c r="A48" t="s">
        <v>175</v>
      </c>
      <c r="B48" t="s">
        <v>166</v>
      </c>
      <c r="C48" t="s">
        <v>130</v>
      </c>
      <c r="D48" t="s">
        <v>235</v>
      </c>
      <c r="E48" t="s">
        <v>236</v>
      </c>
      <c r="F48" t="s">
        <v>169</v>
      </c>
      <c r="G48">
        <v>2026</v>
      </c>
      <c r="H48" t="s">
        <v>170</v>
      </c>
      <c r="I48" t="s">
        <v>144</v>
      </c>
      <c r="O48" t="s">
        <v>214</v>
      </c>
    </row>
    <row r="49" spans="1:15">
      <c r="A49" t="s">
        <v>175</v>
      </c>
      <c r="B49" t="s">
        <v>166</v>
      </c>
      <c r="C49" t="s">
        <v>130</v>
      </c>
      <c r="D49" t="s">
        <v>237</v>
      </c>
      <c r="E49" t="s">
        <v>238</v>
      </c>
      <c r="F49" t="s">
        <v>169</v>
      </c>
      <c r="G49">
        <v>2026</v>
      </c>
      <c r="H49" t="s">
        <v>170</v>
      </c>
      <c r="I49" t="s">
        <v>144</v>
      </c>
    </row>
    <row r="50" spans="1:15">
      <c r="A50" t="s">
        <v>175</v>
      </c>
      <c r="B50" t="s">
        <v>166</v>
      </c>
      <c r="C50" t="s">
        <v>130</v>
      </c>
      <c r="D50" t="s">
        <v>239</v>
      </c>
      <c r="E50" t="s">
        <v>240</v>
      </c>
      <c r="F50" t="s">
        <v>169</v>
      </c>
      <c r="G50">
        <v>2026</v>
      </c>
      <c r="H50" t="s">
        <v>170</v>
      </c>
      <c r="I50" t="s">
        <v>144</v>
      </c>
    </row>
    <row r="51" spans="1:15">
      <c r="A51" t="s">
        <v>175</v>
      </c>
      <c r="B51" t="s">
        <v>166</v>
      </c>
      <c r="C51" t="s">
        <v>130</v>
      </c>
      <c r="D51" t="s">
        <v>241</v>
      </c>
      <c r="E51" t="s">
        <v>242</v>
      </c>
      <c r="F51" t="s">
        <v>169</v>
      </c>
      <c r="G51">
        <v>2026</v>
      </c>
      <c r="H51" t="s">
        <v>170</v>
      </c>
      <c r="I51" t="s">
        <v>144</v>
      </c>
    </row>
    <row r="52" spans="1:15">
      <c r="A52" t="s">
        <v>175</v>
      </c>
      <c r="B52" t="s">
        <v>166</v>
      </c>
      <c r="C52" t="s">
        <v>130</v>
      </c>
      <c r="D52" t="s">
        <v>243</v>
      </c>
      <c r="E52" t="s">
        <v>244</v>
      </c>
      <c r="F52" t="s">
        <v>169</v>
      </c>
      <c r="G52">
        <v>2026</v>
      </c>
      <c r="H52" t="s">
        <v>170</v>
      </c>
      <c r="I52" t="s">
        <v>144</v>
      </c>
    </row>
    <row r="53" spans="1:15">
      <c r="A53" t="s">
        <v>175</v>
      </c>
      <c r="B53" t="s">
        <v>166</v>
      </c>
      <c r="C53" t="s">
        <v>130</v>
      </c>
      <c r="D53" t="s">
        <v>245</v>
      </c>
      <c r="E53" t="s">
        <v>246</v>
      </c>
      <c r="F53" t="s">
        <v>169</v>
      </c>
      <c r="G53">
        <v>2026</v>
      </c>
      <c r="H53" t="s">
        <v>170</v>
      </c>
      <c r="I53" t="s">
        <v>144</v>
      </c>
    </row>
    <row r="54" spans="1:15">
      <c r="A54" t="s">
        <v>175</v>
      </c>
      <c r="B54" t="s">
        <v>166</v>
      </c>
      <c r="C54" t="s">
        <v>130</v>
      </c>
      <c r="D54" t="s">
        <v>247</v>
      </c>
      <c r="E54" t="s">
        <v>248</v>
      </c>
      <c r="F54" t="s">
        <v>169</v>
      </c>
      <c r="G54">
        <v>2026</v>
      </c>
      <c r="H54" t="s">
        <v>170</v>
      </c>
      <c r="I54" t="s">
        <v>144</v>
      </c>
    </row>
    <row r="55" spans="1:15">
      <c r="A55" t="s">
        <v>175</v>
      </c>
      <c r="B55" t="s">
        <v>166</v>
      </c>
      <c r="C55" t="s">
        <v>130</v>
      </c>
      <c r="D55" t="s">
        <v>249</v>
      </c>
      <c r="E55" t="s">
        <v>250</v>
      </c>
      <c r="F55" t="s">
        <v>169</v>
      </c>
      <c r="G55">
        <v>2026</v>
      </c>
      <c r="H55" t="s">
        <v>170</v>
      </c>
      <c r="I55" t="s">
        <v>144</v>
      </c>
      <c r="O55" t="s">
        <v>214</v>
      </c>
    </row>
    <row r="56" spans="1:15">
      <c r="A56" t="s">
        <v>175</v>
      </c>
      <c r="B56" t="s">
        <v>166</v>
      </c>
      <c r="C56" t="s">
        <v>130</v>
      </c>
      <c r="D56" t="s">
        <v>251</v>
      </c>
      <c r="E56" t="s">
        <v>252</v>
      </c>
      <c r="F56" t="s">
        <v>169</v>
      </c>
      <c r="G56">
        <v>2026</v>
      </c>
      <c r="H56" t="s">
        <v>170</v>
      </c>
      <c r="I56" t="s">
        <v>144</v>
      </c>
    </row>
    <row r="57" spans="1:15">
      <c r="A57" t="s">
        <v>175</v>
      </c>
      <c r="B57" t="s">
        <v>166</v>
      </c>
      <c r="C57" t="s">
        <v>130</v>
      </c>
      <c r="D57" t="s">
        <v>253</v>
      </c>
      <c r="E57" t="s">
        <v>254</v>
      </c>
      <c r="F57" t="s">
        <v>169</v>
      </c>
      <c r="G57">
        <v>2026</v>
      </c>
      <c r="H57" t="s">
        <v>170</v>
      </c>
      <c r="I57" t="s">
        <v>144</v>
      </c>
      <c r="O57" t="s">
        <v>214</v>
      </c>
    </row>
    <row r="58" spans="1:15">
      <c r="A58" t="s">
        <v>175</v>
      </c>
      <c r="B58" t="s">
        <v>166</v>
      </c>
      <c r="C58" t="s">
        <v>130</v>
      </c>
      <c r="D58" t="s">
        <v>255</v>
      </c>
      <c r="E58" t="s">
        <v>256</v>
      </c>
      <c r="F58" t="s">
        <v>169</v>
      </c>
      <c r="G58">
        <v>2026</v>
      </c>
      <c r="H58" t="s">
        <v>170</v>
      </c>
      <c r="I58" t="s">
        <v>144</v>
      </c>
    </row>
    <row r="59" spans="1:15">
      <c r="A59" t="s">
        <v>175</v>
      </c>
      <c r="B59" t="s">
        <v>166</v>
      </c>
      <c r="C59" t="s">
        <v>130</v>
      </c>
      <c r="D59" t="s">
        <v>257</v>
      </c>
      <c r="E59" t="s">
        <v>258</v>
      </c>
      <c r="F59" t="s">
        <v>169</v>
      </c>
      <c r="G59">
        <v>2026</v>
      </c>
      <c r="H59" t="s">
        <v>170</v>
      </c>
      <c r="I59" t="s">
        <v>144</v>
      </c>
    </row>
    <row r="60" spans="1:15">
      <c r="A60" t="s">
        <v>175</v>
      </c>
      <c r="B60" t="s">
        <v>166</v>
      </c>
      <c r="C60" t="s">
        <v>130</v>
      </c>
      <c r="D60" t="s">
        <v>259</v>
      </c>
      <c r="E60" t="s">
        <v>260</v>
      </c>
      <c r="F60" t="s">
        <v>169</v>
      </c>
      <c r="G60">
        <v>2026</v>
      </c>
      <c r="H60" t="s">
        <v>170</v>
      </c>
      <c r="I60" t="s">
        <v>144</v>
      </c>
      <c r="O60" t="s">
        <v>214</v>
      </c>
    </row>
    <row r="61" spans="1:15">
      <c r="A61" t="s">
        <v>175</v>
      </c>
      <c r="B61" t="s">
        <v>166</v>
      </c>
      <c r="C61" t="s">
        <v>130</v>
      </c>
      <c r="D61" t="s">
        <v>261</v>
      </c>
      <c r="E61" t="s">
        <v>262</v>
      </c>
      <c r="F61" t="s">
        <v>169</v>
      </c>
      <c r="G61">
        <v>2026</v>
      </c>
      <c r="H61" t="s">
        <v>170</v>
      </c>
      <c r="I61" t="s">
        <v>144</v>
      </c>
      <c r="O61" t="s">
        <v>214</v>
      </c>
    </row>
    <row r="62" spans="1:15">
      <c r="A62" t="s">
        <v>175</v>
      </c>
      <c r="B62" t="s">
        <v>166</v>
      </c>
      <c r="C62" t="s">
        <v>130</v>
      </c>
      <c r="D62" t="s">
        <v>263</v>
      </c>
      <c r="E62" t="s">
        <v>264</v>
      </c>
      <c r="F62" t="s">
        <v>169</v>
      </c>
      <c r="G62">
        <v>2026</v>
      </c>
      <c r="H62" t="s">
        <v>170</v>
      </c>
      <c r="I62" t="s">
        <v>144</v>
      </c>
    </row>
    <row r="63" spans="1:15">
      <c r="A63" t="s">
        <v>175</v>
      </c>
      <c r="B63" t="s">
        <v>166</v>
      </c>
      <c r="C63" t="s">
        <v>130</v>
      </c>
      <c r="D63" t="s">
        <v>265</v>
      </c>
      <c r="E63" t="s">
        <v>266</v>
      </c>
      <c r="F63" t="s">
        <v>169</v>
      </c>
      <c r="G63">
        <v>2026</v>
      </c>
      <c r="H63" t="s">
        <v>170</v>
      </c>
      <c r="I63" t="s">
        <v>144</v>
      </c>
      <c r="O63" t="s">
        <v>214</v>
      </c>
    </row>
    <row r="64" spans="1:15">
      <c r="A64" t="s">
        <v>175</v>
      </c>
      <c r="B64" t="s">
        <v>166</v>
      </c>
      <c r="C64" t="s">
        <v>130</v>
      </c>
      <c r="D64" t="s">
        <v>267</v>
      </c>
      <c r="E64" t="s">
        <v>268</v>
      </c>
      <c r="F64" t="s">
        <v>169</v>
      </c>
      <c r="G64">
        <v>2026</v>
      </c>
      <c r="H64" t="s">
        <v>170</v>
      </c>
      <c r="I64" t="s">
        <v>144</v>
      </c>
    </row>
    <row r="65" spans="1:15">
      <c r="A65" t="s">
        <v>175</v>
      </c>
      <c r="B65" t="s">
        <v>166</v>
      </c>
      <c r="C65" t="s">
        <v>130</v>
      </c>
      <c r="D65" t="s">
        <v>269</v>
      </c>
      <c r="E65" t="s">
        <v>270</v>
      </c>
      <c r="F65" t="s">
        <v>169</v>
      </c>
      <c r="G65">
        <v>2026</v>
      </c>
      <c r="H65" t="s">
        <v>170</v>
      </c>
      <c r="I65" t="s">
        <v>144</v>
      </c>
    </row>
    <row r="66" spans="1:15">
      <c r="A66" t="s">
        <v>175</v>
      </c>
      <c r="B66" t="s">
        <v>166</v>
      </c>
      <c r="C66" t="s">
        <v>130</v>
      </c>
      <c r="D66" t="s">
        <v>271</v>
      </c>
      <c r="E66" t="s">
        <v>272</v>
      </c>
      <c r="F66" t="s">
        <v>169</v>
      </c>
      <c r="G66">
        <v>2026</v>
      </c>
      <c r="H66" t="s">
        <v>170</v>
      </c>
      <c r="I66" t="s">
        <v>144</v>
      </c>
      <c r="O66" t="s">
        <v>214</v>
      </c>
    </row>
    <row r="67" spans="1:15">
      <c r="A67" t="s">
        <v>175</v>
      </c>
      <c r="B67" t="s">
        <v>166</v>
      </c>
      <c r="C67" t="s">
        <v>130</v>
      </c>
      <c r="D67" t="s">
        <v>273</v>
      </c>
      <c r="E67" t="s">
        <v>274</v>
      </c>
      <c r="F67" t="s">
        <v>169</v>
      </c>
      <c r="G67">
        <v>2026</v>
      </c>
      <c r="H67" t="s">
        <v>170</v>
      </c>
      <c r="I67" t="s">
        <v>144</v>
      </c>
    </row>
    <row r="68" spans="1:15">
      <c r="A68" t="s">
        <v>175</v>
      </c>
      <c r="B68" t="s">
        <v>166</v>
      </c>
      <c r="C68" t="s">
        <v>130</v>
      </c>
      <c r="D68" t="s">
        <v>275</v>
      </c>
      <c r="E68" t="s">
        <v>276</v>
      </c>
      <c r="F68" t="s">
        <v>169</v>
      </c>
      <c r="G68">
        <v>2026</v>
      </c>
      <c r="H68" t="s">
        <v>170</v>
      </c>
      <c r="I68" t="s">
        <v>144</v>
      </c>
    </row>
    <row r="69" spans="1:15">
      <c r="A69" t="s">
        <v>175</v>
      </c>
      <c r="B69" t="s">
        <v>166</v>
      </c>
      <c r="C69" t="s">
        <v>130</v>
      </c>
      <c r="D69" t="s">
        <v>277</v>
      </c>
      <c r="E69" t="s">
        <v>278</v>
      </c>
      <c r="F69" t="s">
        <v>169</v>
      </c>
      <c r="G69">
        <v>2026</v>
      </c>
      <c r="H69" t="s">
        <v>170</v>
      </c>
      <c r="I69" t="s">
        <v>144</v>
      </c>
    </row>
    <row r="70" spans="1:15">
      <c r="A70" t="s">
        <v>175</v>
      </c>
      <c r="B70" t="s">
        <v>166</v>
      </c>
      <c r="C70" t="s">
        <v>130</v>
      </c>
      <c r="D70" t="s">
        <v>279</v>
      </c>
      <c r="E70" t="s">
        <v>280</v>
      </c>
      <c r="F70" t="s">
        <v>169</v>
      </c>
      <c r="G70">
        <v>2026</v>
      </c>
      <c r="H70" t="s">
        <v>170</v>
      </c>
      <c r="I70" t="s">
        <v>144</v>
      </c>
    </row>
    <row r="71" spans="1:15">
      <c r="A71" t="s">
        <v>175</v>
      </c>
      <c r="B71" t="s">
        <v>166</v>
      </c>
      <c r="C71" t="s">
        <v>130</v>
      </c>
      <c r="D71" t="s">
        <v>281</v>
      </c>
      <c r="E71" t="s">
        <v>282</v>
      </c>
      <c r="F71" t="s">
        <v>169</v>
      </c>
      <c r="G71">
        <v>2026</v>
      </c>
      <c r="H71" t="s">
        <v>170</v>
      </c>
      <c r="I71" t="s">
        <v>144</v>
      </c>
      <c r="O71" t="s">
        <v>214</v>
      </c>
    </row>
    <row r="72" spans="1:15">
      <c r="A72" t="s">
        <v>175</v>
      </c>
      <c r="B72" t="s">
        <v>166</v>
      </c>
      <c r="C72" t="s">
        <v>130</v>
      </c>
      <c r="D72" t="s">
        <v>283</v>
      </c>
      <c r="E72" t="s">
        <v>284</v>
      </c>
      <c r="F72" t="s">
        <v>169</v>
      </c>
      <c r="G72">
        <v>2026</v>
      </c>
      <c r="H72" t="s">
        <v>170</v>
      </c>
      <c r="I72" t="s">
        <v>144</v>
      </c>
      <c r="O72" t="s">
        <v>214</v>
      </c>
    </row>
    <row r="73" spans="1:15">
      <c r="A73" t="s">
        <v>175</v>
      </c>
      <c r="B73" t="s">
        <v>166</v>
      </c>
      <c r="C73" t="s">
        <v>130</v>
      </c>
      <c r="D73" t="s">
        <v>285</v>
      </c>
      <c r="E73" t="s">
        <v>286</v>
      </c>
      <c r="F73" t="s">
        <v>169</v>
      </c>
      <c r="G73">
        <v>2026</v>
      </c>
      <c r="H73" t="s">
        <v>170</v>
      </c>
      <c r="I73" t="s">
        <v>144</v>
      </c>
      <c r="O73" t="s">
        <v>214</v>
      </c>
    </row>
    <row r="74" spans="1:15">
      <c r="A74" t="s">
        <v>175</v>
      </c>
      <c r="B74" t="s">
        <v>166</v>
      </c>
      <c r="C74" t="s">
        <v>130</v>
      </c>
      <c r="D74" t="s">
        <v>287</v>
      </c>
      <c r="E74" t="s">
        <v>288</v>
      </c>
      <c r="F74" t="s">
        <v>169</v>
      </c>
      <c r="G74">
        <v>2026</v>
      </c>
      <c r="H74" t="s">
        <v>170</v>
      </c>
      <c r="I74" t="s">
        <v>144</v>
      </c>
      <c r="O74" t="s">
        <v>214</v>
      </c>
    </row>
    <row r="75" spans="1:15">
      <c r="A75" t="s">
        <v>175</v>
      </c>
      <c r="B75" t="s">
        <v>166</v>
      </c>
      <c r="C75" t="s">
        <v>130</v>
      </c>
      <c r="D75" t="s">
        <v>289</v>
      </c>
      <c r="E75" t="s">
        <v>290</v>
      </c>
      <c r="F75" t="s">
        <v>169</v>
      </c>
      <c r="G75">
        <v>2026</v>
      </c>
      <c r="H75" t="s">
        <v>170</v>
      </c>
      <c r="I75" t="s">
        <v>144</v>
      </c>
    </row>
    <row r="76" spans="1:15">
      <c r="A76" t="s">
        <v>175</v>
      </c>
      <c r="B76" t="s">
        <v>166</v>
      </c>
      <c r="C76" t="s">
        <v>130</v>
      </c>
      <c r="D76" t="s">
        <v>291</v>
      </c>
      <c r="E76" t="s">
        <v>292</v>
      </c>
      <c r="F76" t="s">
        <v>169</v>
      </c>
      <c r="G76">
        <v>2026</v>
      </c>
      <c r="H76" t="s">
        <v>170</v>
      </c>
      <c r="I76" t="s">
        <v>144</v>
      </c>
    </row>
    <row r="77" spans="1:15">
      <c r="A77" t="s">
        <v>175</v>
      </c>
      <c r="B77" t="s">
        <v>166</v>
      </c>
      <c r="C77" t="s">
        <v>130</v>
      </c>
      <c r="D77" t="s">
        <v>293</v>
      </c>
      <c r="E77" t="s">
        <v>294</v>
      </c>
      <c r="F77" t="s">
        <v>169</v>
      </c>
      <c r="G77">
        <v>2026</v>
      </c>
      <c r="H77" t="s">
        <v>170</v>
      </c>
      <c r="I77" t="s">
        <v>144</v>
      </c>
    </row>
    <row r="78" spans="1:15">
      <c r="A78" t="s">
        <v>175</v>
      </c>
      <c r="B78" t="s">
        <v>166</v>
      </c>
      <c r="C78" t="s">
        <v>130</v>
      </c>
      <c r="D78" t="s">
        <v>295</v>
      </c>
      <c r="E78" t="s">
        <v>296</v>
      </c>
      <c r="F78" t="s">
        <v>169</v>
      </c>
      <c r="G78">
        <v>2026</v>
      </c>
      <c r="H78" t="s">
        <v>170</v>
      </c>
      <c r="I78" t="s">
        <v>144</v>
      </c>
    </row>
    <row r="79" spans="1:15">
      <c r="A79" t="s">
        <v>175</v>
      </c>
      <c r="B79" t="s">
        <v>166</v>
      </c>
      <c r="C79" t="s">
        <v>130</v>
      </c>
      <c r="D79" t="s">
        <v>297</v>
      </c>
      <c r="E79" t="s">
        <v>298</v>
      </c>
      <c r="F79" t="s">
        <v>169</v>
      </c>
      <c r="G79">
        <v>2026</v>
      </c>
      <c r="H79" t="s">
        <v>170</v>
      </c>
      <c r="I79" t="s">
        <v>144</v>
      </c>
    </row>
    <row r="80" spans="1:15">
      <c r="A80" t="s">
        <v>175</v>
      </c>
      <c r="B80" t="s">
        <v>166</v>
      </c>
      <c r="C80" t="s">
        <v>130</v>
      </c>
      <c r="D80" t="s">
        <v>299</v>
      </c>
      <c r="E80" t="s">
        <v>300</v>
      </c>
      <c r="F80" t="s">
        <v>169</v>
      </c>
      <c r="G80">
        <v>2026</v>
      </c>
      <c r="H80" t="s">
        <v>170</v>
      </c>
      <c r="I80" t="s">
        <v>144</v>
      </c>
    </row>
    <row r="81" spans="1:15">
      <c r="A81" t="s">
        <v>175</v>
      </c>
      <c r="B81" t="s">
        <v>166</v>
      </c>
      <c r="C81" t="s">
        <v>130</v>
      </c>
      <c r="D81" t="s">
        <v>301</v>
      </c>
      <c r="E81" t="s">
        <v>302</v>
      </c>
      <c r="F81" t="s">
        <v>169</v>
      </c>
      <c r="G81">
        <v>2026</v>
      </c>
      <c r="H81" t="s">
        <v>170</v>
      </c>
      <c r="I81" t="s">
        <v>144</v>
      </c>
      <c r="O81" t="s">
        <v>214</v>
      </c>
    </row>
    <row r="82" spans="1:15">
      <c r="A82" t="s">
        <v>175</v>
      </c>
      <c r="B82" t="s">
        <v>166</v>
      </c>
      <c r="C82" t="s">
        <v>130</v>
      </c>
      <c r="D82" t="s">
        <v>303</v>
      </c>
      <c r="E82" t="s">
        <v>304</v>
      </c>
      <c r="F82" t="s">
        <v>169</v>
      </c>
      <c r="G82">
        <v>2026</v>
      </c>
      <c r="H82" t="s">
        <v>170</v>
      </c>
      <c r="I82" t="s">
        <v>144</v>
      </c>
      <c r="O82" t="s">
        <v>214</v>
      </c>
    </row>
    <row r="83" spans="1:15">
      <c r="A83" t="s">
        <v>175</v>
      </c>
      <c r="B83" t="s">
        <v>166</v>
      </c>
      <c r="C83" t="s">
        <v>130</v>
      </c>
      <c r="D83" t="s">
        <v>305</v>
      </c>
      <c r="E83" t="s">
        <v>306</v>
      </c>
      <c r="F83" t="s">
        <v>169</v>
      </c>
      <c r="G83">
        <v>2026</v>
      </c>
      <c r="H83" t="s">
        <v>170</v>
      </c>
      <c r="I83" t="s">
        <v>144</v>
      </c>
    </row>
    <row r="84" spans="1:15">
      <c r="A84" t="s">
        <v>175</v>
      </c>
      <c r="B84" t="s">
        <v>166</v>
      </c>
      <c r="C84" t="s">
        <v>130</v>
      </c>
      <c r="D84" t="s">
        <v>307</v>
      </c>
      <c r="E84" t="s">
        <v>308</v>
      </c>
      <c r="F84" t="s">
        <v>169</v>
      </c>
      <c r="G84">
        <v>2026</v>
      </c>
      <c r="H84" t="s">
        <v>170</v>
      </c>
      <c r="I84" t="s">
        <v>144</v>
      </c>
    </row>
    <row r="85" spans="1:15">
      <c r="A85" t="s">
        <v>175</v>
      </c>
      <c r="B85" t="s">
        <v>166</v>
      </c>
      <c r="C85" t="s">
        <v>130</v>
      </c>
      <c r="D85" t="s">
        <v>309</v>
      </c>
      <c r="E85" t="s">
        <v>310</v>
      </c>
      <c r="F85" t="s">
        <v>169</v>
      </c>
      <c r="G85">
        <v>2026</v>
      </c>
      <c r="H85" t="s">
        <v>170</v>
      </c>
      <c r="I85" t="s">
        <v>144</v>
      </c>
    </row>
    <row r="86" spans="1:15">
      <c r="A86" t="s">
        <v>175</v>
      </c>
      <c r="B86" t="s">
        <v>166</v>
      </c>
      <c r="C86" t="s">
        <v>130</v>
      </c>
      <c r="D86" t="s">
        <v>311</v>
      </c>
      <c r="E86" t="s">
        <v>312</v>
      </c>
      <c r="F86" t="s">
        <v>169</v>
      </c>
      <c r="G86">
        <v>2026</v>
      </c>
      <c r="H86" t="s">
        <v>170</v>
      </c>
      <c r="I86" t="s">
        <v>144</v>
      </c>
      <c r="O86" t="s">
        <v>214</v>
      </c>
    </row>
    <row r="87" spans="1:15">
      <c r="A87" t="s">
        <v>175</v>
      </c>
      <c r="B87" t="s">
        <v>166</v>
      </c>
      <c r="C87" t="s">
        <v>130</v>
      </c>
      <c r="D87" t="s">
        <v>313</v>
      </c>
      <c r="E87" t="s">
        <v>314</v>
      </c>
      <c r="F87" t="s">
        <v>169</v>
      </c>
      <c r="G87">
        <v>2026</v>
      </c>
      <c r="H87" t="s">
        <v>170</v>
      </c>
      <c r="I87" t="s">
        <v>144</v>
      </c>
      <c r="O87" t="s">
        <v>214</v>
      </c>
    </row>
    <row r="88" spans="1:15">
      <c r="A88" t="s">
        <v>175</v>
      </c>
      <c r="B88" t="s">
        <v>166</v>
      </c>
      <c r="C88" t="s">
        <v>130</v>
      </c>
      <c r="D88" t="s">
        <v>315</v>
      </c>
      <c r="E88" t="s">
        <v>316</v>
      </c>
      <c r="F88" t="s">
        <v>169</v>
      </c>
      <c r="G88">
        <v>2026</v>
      </c>
      <c r="H88" t="s">
        <v>170</v>
      </c>
      <c r="I88" t="s">
        <v>144</v>
      </c>
    </row>
    <row r="89" spans="1:15">
      <c r="A89" t="s">
        <v>175</v>
      </c>
      <c r="B89" t="s">
        <v>166</v>
      </c>
      <c r="C89" t="s">
        <v>130</v>
      </c>
      <c r="D89" t="s">
        <v>317</v>
      </c>
      <c r="E89" t="s">
        <v>318</v>
      </c>
      <c r="F89" t="s">
        <v>169</v>
      </c>
      <c r="G89">
        <v>2026</v>
      </c>
      <c r="H89" t="s">
        <v>170</v>
      </c>
      <c r="I89" t="s">
        <v>144</v>
      </c>
    </row>
    <row r="90" spans="1:15">
      <c r="A90" t="s">
        <v>138</v>
      </c>
      <c r="B90" t="s">
        <v>319</v>
      </c>
      <c r="C90" t="s">
        <v>130</v>
      </c>
      <c r="D90" t="s">
        <v>320</v>
      </c>
      <c r="E90" t="s">
        <v>321</v>
      </c>
      <c r="F90" t="s">
        <v>322</v>
      </c>
      <c r="G90">
        <v>2026</v>
      </c>
      <c r="H90" t="s">
        <v>323</v>
      </c>
      <c r="I90" t="s">
        <v>144</v>
      </c>
    </row>
    <row r="91" spans="1:15">
      <c r="A91" t="s">
        <v>138</v>
      </c>
      <c r="B91" t="s">
        <v>319</v>
      </c>
      <c r="C91" t="s">
        <v>130</v>
      </c>
      <c r="D91" t="s">
        <v>324</v>
      </c>
      <c r="E91" t="s">
        <v>325</v>
      </c>
      <c r="F91" t="s">
        <v>322</v>
      </c>
      <c r="G91">
        <v>2026</v>
      </c>
      <c r="H91" t="s">
        <v>323</v>
      </c>
      <c r="I91" t="s">
        <v>144</v>
      </c>
    </row>
    <row r="92" spans="1:15">
      <c r="A92" t="s">
        <v>138</v>
      </c>
      <c r="B92" t="s">
        <v>319</v>
      </c>
      <c r="C92" t="s">
        <v>130</v>
      </c>
      <c r="D92" t="s">
        <v>326</v>
      </c>
      <c r="E92" t="s">
        <v>327</v>
      </c>
      <c r="F92" t="s">
        <v>322</v>
      </c>
      <c r="G92">
        <v>2026</v>
      </c>
      <c r="H92" t="s">
        <v>323</v>
      </c>
      <c r="I92" t="s">
        <v>144</v>
      </c>
    </row>
    <row r="93" spans="1:15">
      <c r="A93" t="s">
        <v>138</v>
      </c>
      <c r="B93" t="s">
        <v>319</v>
      </c>
      <c r="C93" t="s">
        <v>130</v>
      </c>
      <c r="D93" t="s">
        <v>328</v>
      </c>
      <c r="E93" t="s">
        <v>329</v>
      </c>
      <c r="F93" t="s">
        <v>322</v>
      </c>
      <c r="G93">
        <v>2026</v>
      </c>
      <c r="H93" t="s">
        <v>323</v>
      </c>
      <c r="I93" t="s">
        <v>144</v>
      </c>
    </row>
    <row r="94" spans="1:15">
      <c r="A94" t="s">
        <v>138</v>
      </c>
      <c r="B94" t="s">
        <v>319</v>
      </c>
      <c r="C94" t="s">
        <v>130</v>
      </c>
      <c r="D94" t="s">
        <v>330</v>
      </c>
      <c r="E94" t="s">
        <v>331</v>
      </c>
      <c r="F94" t="s">
        <v>322</v>
      </c>
      <c r="G94">
        <v>2026</v>
      </c>
      <c r="H94" t="s">
        <v>323</v>
      </c>
      <c r="I94" t="s">
        <v>144</v>
      </c>
    </row>
    <row r="95" spans="1:15">
      <c r="A95" t="s">
        <v>138</v>
      </c>
      <c r="B95" t="s">
        <v>319</v>
      </c>
      <c r="C95" t="s">
        <v>130</v>
      </c>
      <c r="D95" t="s">
        <v>332</v>
      </c>
      <c r="E95" t="s">
        <v>333</v>
      </c>
      <c r="F95" t="s">
        <v>322</v>
      </c>
      <c r="G95">
        <v>2026</v>
      </c>
      <c r="H95" t="s">
        <v>323</v>
      </c>
      <c r="I95" t="s">
        <v>144</v>
      </c>
    </row>
    <row r="96" spans="1:15">
      <c r="A96" t="s">
        <v>138</v>
      </c>
      <c r="B96" t="s">
        <v>319</v>
      </c>
      <c r="C96" t="s">
        <v>130</v>
      </c>
      <c r="D96" t="s">
        <v>334</v>
      </c>
      <c r="E96" t="s">
        <v>335</v>
      </c>
      <c r="F96" t="s">
        <v>322</v>
      </c>
      <c r="G96">
        <v>2026</v>
      </c>
      <c r="H96" t="s">
        <v>323</v>
      </c>
      <c r="I96" t="s">
        <v>144</v>
      </c>
    </row>
    <row r="97" spans="1:9">
      <c r="A97" t="s">
        <v>138</v>
      </c>
      <c r="B97" t="s">
        <v>319</v>
      </c>
      <c r="C97" t="s">
        <v>130</v>
      </c>
      <c r="D97" t="s">
        <v>336</v>
      </c>
      <c r="E97" t="s">
        <v>337</v>
      </c>
      <c r="F97" t="s">
        <v>322</v>
      </c>
      <c r="G97">
        <v>2026</v>
      </c>
      <c r="H97" t="s">
        <v>323</v>
      </c>
      <c r="I97" t="s">
        <v>144</v>
      </c>
    </row>
    <row r="98" spans="1:9">
      <c r="A98" t="s">
        <v>138</v>
      </c>
      <c r="B98" t="s">
        <v>319</v>
      </c>
      <c r="C98" t="s">
        <v>130</v>
      </c>
      <c r="D98" t="s">
        <v>338</v>
      </c>
      <c r="E98" t="s">
        <v>339</v>
      </c>
      <c r="F98" t="s">
        <v>322</v>
      </c>
      <c r="G98">
        <v>2026</v>
      </c>
      <c r="H98" t="s">
        <v>323</v>
      </c>
      <c r="I98" t="s">
        <v>144</v>
      </c>
    </row>
    <row r="99" spans="1:9">
      <c r="A99" t="s">
        <v>138</v>
      </c>
      <c r="B99" t="s">
        <v>319</v>
      </c>
      <c r="C99" t="s">
        <v>130</v>
      </c>
      <c r="D99" t="s">
        <v>340</v>
      </c>
      <c r="E99" t="s">
        <v>341</v>
      </c>
      <c r="F99" t="s">
        <v>322</v>
      </c>
      <c r="G99">
        <v>2026</v>
      </c>
      <c r="H99" t="s">
        <v>323</v>
      </c>
      <c r="I99" t="s">
        <v>144</v>
      </c>
    </row>
    <row r="100" spans="1:9">
      <c r="A100" t="s">
        <v>138</v>
      </c>
      <c r="B100" t="s">
        <v>319</v>
      </c>
      <c r="C100" t="s">
        <v>130</v>
      </c>
      <c r="D100" t="s">
        <v>342</v>
      </c>
      <c r="E100" t="s">
        <v>343</v>
      </c>
      <c r="F100" t="s">
        <v>322</v>
      </c>
      <c r="G100">
        <v>2026</v>
      </c>
      <c r="H100" t="s">
        <v>323</v>
      </c>
      <c r="I100" t="s">
        <v>144</v>
      </c>
    </row>
    <row r="101" spans="1:9">
      <c r="A101" t="s">
        <v>138</v>
      </c>
      <c r="B101" t="s">
        <v>319</v>
      </c>
      <c r="C101" t="s">
        <v>130</v>
      </c>
      <c r="D101" t="s">
        <v>344</v>
      </c>
      <c r="E101" t="s">
        <v>345</v>
      </c>
      <c r="F101" t="s">
        <v>322</v>
      </c>
      <c r="G101">
        <v>2026</v>
      </c>
      <c r="H101" t="s">
        <v>323</v>
      </c>
      <c r="I101" t="s">
        <v>144</v>
      </c>
    </row>
    <row r="102" spans="1:9">
      <c r="A102" t="s">
        <v>138</v>
      </c>
      <c r="B102" t="s">
        <v>319</v>
      </c>
      <c r="C102" t="s">
        <v>130</v>
      </c>
      <c r="D102" t="s">
        <v>346</v>
      </c>
      <c r="E102" t="s">
        <v>347</v>
      </c>
      <c r="F102" t="s">
        <v>322</v>
      </c>
      <c r="G102">
        <v>2026</v>
      </c>
      <c r="H102" t="s">
        <v>323</v>
      </c>
      <c r="I102" t="s">
        <v>144</v>
      </c>
    </row>
    <row r="103" spans="1:9">
      <c r="A103" t="s">
        <v>138</v>
      </c>
      <c r="B103" t="s">
        <v>319</v>
      </c>
      <c r="C103" t="s">
        <v>130</v>
      </c>
      <c r="D103" t="s">
        <v>348</v>
      </c>
      <c r="E103" t="s">
        <v>349</v>
      </c>
      <c r="F103" t="s">
        <v>322</v>
      </c>
      <c r="G103">
        <v>2026</v>
      </c>
      <c r="H103" t="s">
        <v>323</v>
      </c>
      <c r="I103" t="s">
        <v>144</v>
      </c>
    </row>
    <row r="104" spans="1:9">
      <c r="A104" t="s">
        <v>138</v>
      </c>
      <c r="B104" t="s">
        <v>319</v>
      </c>
      <c r="C104" t="s">
        <v>130</v>
      </c>
      <c r="D104" t="s">
        <v>350</v>
      </c>
      <c r="E104" t="s">
        <v>351</v>
      </c>
      <c r="F104" t="s">
        <v>322</v>
      </c>
      <c r="G104">
        <v>2026</v>
      </c>
      <c r="H104" t="s">
        <v>323</v>
      </c>
      <c r="I104" t="s">
        <v>144</v>
      </c>
    </row>
    <row r="105" spans="1:9">
      <c r="A105" t="s">
        <v>138</v>
      </c>
      <c r="B105" t="s">
        <v>319</v>
      </c>
      <c r="C105" t="s">
        <v>130</v>
      </c>
      <c r="D105" t="s">
        <v>352</v>
      </c>
      <c r="E105" t="s">
        <v>353</v>
      </c>
      <c r="F105" t="s">
        <v>322</v>
      </c>
      <c r="G105">
        <v>2026</v>
      </c>
      <c r="H105" t="s">
        <v>323</v>
      </c>
      <c r="I105" t="s">
        <v>144</v>
      </c>
    </row>
    <row r="106" spans="1:9">
      <c r="A106" t="s">
        <v>138</v>
      </c>
      <c r="B106" t="s">
        <v>319</v>
      </c>
      <c r="C106" t="s">
        <v>130</v>
      </c>
      <c r="D106" t="s">
        <v>354</v>
      </c>
      <c r="E106" t="s">
        <v>355</v>
      </c>
      <c r="F106" t="s">
        <v>322</v>
      </c>
      <c r="G106">
        <v>2026</v>
      </c>
      <c r="H106" t="s">
        <v>323</v>
      </c>
      <c r="I106" t="s">
        <v>144</v>
      </c>
    </row>
    <row r="107" spans="1:9">
      <c r="A107" t="s">
        <v>138</v>
      </c>
      <c r="B107" t="s">
        <v>319</v>
      </c>
      <c r="C107" t="s">
        <v>130</v>
      </c>
      <c r="D107" t="s">
        <v>356</v>
      </c>
      <c r="E107" t="s">
        <v>357</v>
      </c>
      <c r="F107" t="s">
        <v>322</v>
      </c>
      <c r="G107">
        <v>2026</v>
      </c>
      <c r="H107" t="s">
        <v>323</v>
      </c>
      <c r="I107" t="s">
        <v>144</v>
      </c>
    </row>
    <row r="108" spans="1:9">
      <c r="A108" t="s">
        <v>138</v>
      </c>
      <c r="B108" t="s">
        <v>319</v>
      </c>
      <c r="C108" t="s">
        <v>130</v>
      </c>
      <c r="D108" t="s">
        <v>358</v>
      </c>
      <c r="E108" t="s">
        <v>359</v>
      </c>
      <c r="F108" t="s">
        <v>322</v>
      </c>
      <c r="G108">
        <v>2026</v>
      </c>
      <c r="H108" t="s">
        <v>323</v>
      </c>
      <c r="I108" t="s">
        <v>144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82CC-2068-C241-A72B-C6C67A502A13}">
  <sheetPr codeName="Sheet15">
    <tabColor rgb="FFFFFF00"/>
  </sheetPr>
  <dimension ref="A1:AS11"/>
  <sheetViews>
    <sheetView tabSelected="1" zoomScale="90" zoomScaleNormal="90" workbookViewId="0">
      <pane ySplit="1" topLeftCell="A2" activePane="bottomLeft" state="frozen"/>
      <selection pane="bottomLeft" activeCell="J31" sqref="J31"/>
    </sheetView>
  </sheetViews>
  <sheetFormatPr defaultColWidth="8.44140625" defaultRowHeight="15" customHeight="1"/>
  <cols>
    <col min="1" max="1" width="7.109375" style="18" customWidth="1"/>
    <col min="2" max="2" width="30.77734375" style="17" customWidth="1"/>
    <col min="3" max="3" width="19.44140625" style="17" bestFit="1" customWidth="1"/>
    <col min="4" max="4" width="16.109375" style="17" customWidth="1"/>
    <col min="5" max="5" width="24.77734375" style="18" customWidth="1"/>
    <col min="6" max="6" width="23.44140625" style="18" customWidth="1"/>
    <col min="7" max="7" width="17.44140625" style="18" customWidth="1"/>
    <col min="8" max="8" width="17.33203125" style="18" bestFit="1" customWidth="1"/>
    <col min="9" max="9" width="21.44140625" style="18" customWidth="1"/>
    <col min="10" max="10" width="25.6640625" style="18" customWidth="1"/>
    <col min="11" max="11" width="24.77734375" style="18" customWidth="1"/>
    <col min="12" max="17" width="24.77734375" style="19" customWidth="1"/>
    <col min="18" max="19" width="15.33203125" style="18" customWidth="1"/>
    <col min="20" max="20" width="65.33203125" style="18" bestFit="1" customWidth="1"/>
    <col min="21" max="21" width="65.33203125" style="18" customWidth="1"/>
    <col min="22" max="22" width="20.77734375" style="18" bestFit="1" customWidth="1"/>
    <col min="23" max="23" width="24" style="18" customWidth="1"/>
    <col min="24" max="25" width="13.44140625" style="19" customWidth="1"/>
    <col min="26" max="26" width="12.77734375" style="19" bestFit="1" customWidth="1"/>
    <col min="27" max="27" width="22.109375" style="19" bestFit="1" customWidth="1"/>
    <col min="28" max="28" width="15" style="19" bestFit="1" customWidth="1"/>
    <col min="29" max="29" width="15" style="19" customWidth="1"/>
    <col min="30" max="30" width="14" style="19" customWidth="1"/>
    <col min="31" max="31" width="29.6640625" style="32" customWidth="1"/>
    <col min="32" max="35" width="19.77734375" style="17" customWidth="1"/>
    <col min="36" max="36" width="15.5546875" style="19" customWidth="1"/>
    <col min="37" max="37" width="16.88671875" style="19" customWidth="1"/>
    <col min="38" max="38" width="24.33203125" style="19" bestFit="1" customWidth="1"/>
    <col min="39" max="39" width="25.44140625" style="19" bestFit="1" customWidth="1"/>
    <col min="40" max="40" width="25.44140625" style="19" customWidth="1"/>
    <col min="41" max="42" width="22" style="18" customWidth="1"/>
    <col min="43" max="43" width="15.6640625" style="17" customWidth="1"/>
    <col min="44" max="44" width="29.6640625" style="17" bestFit="1" customWidth="1"/>
    <col min="45" max="45" width="29.6640625" style="17" customWidth="1"/>
    <col min="46" max="16384" width="8.44140625" style="17"/>
  </cols>
  <sheetData>
    <row r="1" spans="1:45" s="86" customFormat="1" ht="31.2">
      <c r="A1" s="37" t="s">
        <v>360</v>
      </c>
      <c r="B1" s="38" t="s">
        <v>109</v>
      </c>
      <c r="C1" s="38" t="s">
        <v>110</v>
      </c>
      <c r="D1" s="38" t="s">
        <v>111</v>
      </c>
      <c r="E1" s="37" t="s">
        <v>112</v>
      </c>
      <c r="F1" s="37" t="s">
        <v>113</v>
      </c>
      <c r="G1" s="37" t="s">
        <v>114</v>
      </c>
      <c r="H1" s="37" t="s">
        <v>115</v>
      </c>
      <c r="I1" s="37" t="s">
        <v>116</v>
      </c>
      <c r="J1" s="37" t="s">
        <v>117</v>
      </c>
      <c r="K1" s="49" t="s">
        <v>478</v>
      </c>
      <c r="L1" s="50" t="s">
        <v>466</v>
      </c>
      <c r="M1" s="50" t="s">
        <v>467</v>
      </c>
      <c r="N1" s="50" t="s">
        <v>469</v>
      </c>
      <c r="O1" s="43" t="s">
        <v>468</v>
      </c>
      <c r="P1" s="50" t="s">
        <v>453</v>
      </c>
      <c r="Q1" s="50" t="s">
        <v>470</v>
      </c>
      <c r="R1" s="39" t="s">
        <v>118</v>
      </c>
      <c r="S1" s="41" t="s">
        <v>361</v>
      </c>
      <c r="T1" s="37" t="s">
        <v>119</v>
      </c>
      <c r="U1" s="37" t="s">
        <v>472</v>
      </c>
      <c r="V1" s="37" t="s">
        <v>479</v>
      </c>
      <c r="W1" s="37" t="s">
        <v>121</v>
      </c>
      <c r="X1" s="39" t="s">
        <v>122</v>
      </c>
      <c r="Y1" s="39" t="s">
        <v>473</v>
      </c>
      <c r="Z1" s="40" t="s">
        <v>125</v>
      </c>
      <c r="AA1" s="40" t="s">
        <v>126</v>
      </c>
      <c r="AB1" s="87" t="s">
        <v>127</v>
      </c>
      <c r="AC1" s="88" t="s">
        <v>474</v>
      </c>
      <c r="AD1" s="52" t="s">
        <v>480</v>
      </c>
      <c r="AE1" s="52" t="s">
        <v>445</v>
      </c>
      <c r="AF1" s="53" t="s">
        <v>122</v>
      </c>
      <c r="AG1" s="53" t="s">
        <v>475</v>
      </c>
      <c r="AH1" s="53" t="s">
        <v>447</v>
      </c>
      <c r="AI1" s="53" t="s">
        <v>448</v>
      </c>
      <c r="AJ1" s="54" t="s">
        <v>450</v>
      </c>
      <c r="AK1" s="53" t="s">
        <v>451</v>
      </c>
      <c r="AL1" s="53" t="s">
        <v>449</v>
      </c>
      <c r="AM1" s="52" t="s">
        <v>124</v>
      </c>
      <c r="AN1" s="52" t="s">
        <v>476</v>
      </c>
      <c r="AO1" s="89" t="s">
        <v>457</v>
      </c>
      <c r="AP1" s="42" t="s">
        <v>464</v>
      </c>
      <c r="AQ1" s="39" t="s">
        <v>362</v>
      </c>
      <c r="AR1" s="79" t="s">
        <v>456</v>
      </c>
      <c r="AS1" s="53" t="s">
        <v>477</v>
      </c>
    </row>
    <row r="2" spans="1:45" ht="36" customHeight="1">
      <c r="A2" s="20"/>
      <c r="B2" s="60" t="s">
        <v>438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36"/>
      <c r="O2" s="62" t="s">
        <v>454</v>
      </c>
      <c r="P2" s="63"/>
      <c r="Q2" s="56"/>
      <c r="R2" s="64" t="s">
        <v>442</v>
      </c>
      <c r="S2" s="65"/>
      <c r="T2" s="65"/>
      <c r="U2" s="66"/>
      <c r="V2" s="67" t="s">
        <v>444</v>
      </c>
      <c r="W2" s="68"/>
      <c r="X2" s="68"/>
      <c r="Y2" s="51"/>
      <c r="Z2" s="72" t="s">
        <v>443</v>
      </c>
      <c r="AA2" s="73"/>
      <c r="AB2" s="73"/>
      <c r="AC2" s="74"/>
      <c r="AD2" s="59" t="s">
        <v>446</v>
      </c>
      <c r="AE2" s="69"/>
      <c r="AF2" s="69"/>
      <c r="AG2" s="75"/>
      <c r="AH2" s="76" t="s">
        <v>452</v>
      </c>
      <c r="AI2" s="77"/>
      <c r="AJ2" s="77"/>
      <c r="AK2" s="77"/>
      <c r="AL2" s="77"/>
      <c r="AM2" s="77"/>
      <c r="AN2" s="78"/>
      <c r="AO2" s="83" t="s">
        <v>455</v>
      </c>
      <c r="AP2" s="84"/>
      <c r="AQ2" s="84"/>
      <c r="AR2" s="84"/>
      <c r="AS2" s="85"/>
    </row>
    <row r="3" spans="1:45" ht="14.4">
      <c r="A3" s="25">
        <v>1</v>
      </c>
      <c r="B3" s="28" t="s">
        <v>165</v>
      </c>
      <c r="C3" s="28" t="s">
        <v>394</v>
      </c>
      <c r="D3" s="28" t="s">
        <v>130</v>
      </c>
      <c r="E3" s="27" t="s">
        <v>403</v>
      </c>
      <c r="F3" s="27" t="s">
        <v>404</v>
      </c>
      <c r="G3" s="27"/>
      <c r="H3" s="27">
        <v>2024</v>
      </c>
      <c r="I3" s="27" t="s">
        <v>395</v>
      </c>
      <c r="J3" s="27" t="s">
        <v>401</v>
      </c>
      <c r="K3" s="27"/>
      <c r="L3" s="29"/>
      <c r="M3" s="29"/>
      <c r="N3" s="29"/>
      <c r="O3" s="29"/>
      <c r="P3" s="29"/>
      <c r="Q3" s="29"/>
      <c r="R3" s="26">
        <v>45610</v>
      </c>
      <c r="S3" s="22">
        <f>_xlfn.XLOOKUP(T3,'Dealer Code'!$A:$A,'Dealer Code'!$B:$B)</f>
        <v>290933</v>
      </c>
      <c r="T3" s="22" t="s">
        <v>371</v>
      </c>
      <c r="U3" s="31" t="s">
        <v>366</v>
      </c>
      <c r="V3" s="22" t="s">
        <v>365</v>
      </c>
      <c r="W3" s="22" t="s">
        <v>405</v>
      </c>
      <c r="X3" s="26">
        <v>45617</v>
      </c>
      <c r="Y3" s="26"/>
      <c r="Z3" s="23">
        <v>45611</v>
      </c>
      <c r="AA3" s="23"/>
      <c r="AB3" s="30" t="s">
        <v>367</v>
      </c>
      <c r="AC3" s="47"/>
      <c r="AD3" s="70"/>
      <c r="AE3" s="46"/>
      <c r="AF3" s="46"/>
      <c r="AG3" s="46"/>
      <c r="AH3" s="46"/>
      <c r="AI3" s="46"/>
      <c r="AJ3" s="46"/>
      <c r="AK3" s="46"/>
      <c r="AL3" s="46"/>
      <c r="AM3" s="55" t="s">
        <v>366</v>
      </c>
      <c r="AN3" s="55"/>
      <c r="AO3" s="71" t="s">
        <v>368</v>
      </c>
      <c r="AP3" s="22"/>
      <c r="AQ3" s="23"/>
      <c r="AR3" s="80"/>
      <c r="AS3" s="82"/>
    </row>
    <row r="4" spans="1:45" ht="14.4">
      <c r="A4" s="25">
        <v>2</v>
      </c>
      <c r="B4" s="21" t="s">
        <v>138</v>
      </c>
      <c r="C4" s="28" t="s">
        <v>139</v>
      </c>
      <c r="D4" s="21" t="s">
        <v>130</v>
      </c>
      <c r="E4" s="22" t="s">
        <v>140</v>
      </c>
      <c r="F4" s="22" t="s">
        <v>141</v>
      </c>
      <c r="G4" s="22" t="s">
        <v>142</v>
      </c>
      <c r="H4" s="22">
        <v>2026</v>
      </c>
      <c r="I4" s="27" t="s">
        <v>143</v>
      </c>
      <c r="J4" s="22" t="s">
        <v>144</v>
      </c>
      <c r="K4" s="22"/>
      <c r="L4" s="23"/>
      <c r="M4" s="23"/>
      <c r="N4" s="23"/>
      <c r="O4" s="23"/>
      <c r="P4" s="23"/>
      <c r="Q4" s="23"/>
      <c r="R4" s="23">
        <v>46140</v>
      </c>
      <c r="S4" s="22">
        <v>290944</v>
      </c>
      <c r="T4" s="22" t="s">
        <v>378</v>
      </c>
      <c r="U4" s="34" t="s">
        <v>409</v>
      </c>
      <c r="V4" s="22" t="s">
        <v>365</v>
      </c>
      <c r="W4" s="22" t="s">
        <v>411</v>
      </c>
      <c r="X4" s="23">
        <v>46141</v>
      </c>
      <c r="Y4" s="23"/>
      <c r="Z4" s="23">
        <v>46141</v>
      </c>
      <c r="AA4" s="23"/>
      <c r="AB4" s="30" t="s">
        <v>402</v>
      </c>
      <c r="AC4" s="47"/>
      <c r="AD4" s="70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71"/>
      <c r="AP4" s="22"/>
      <c r="AQ4" s="21"/>
      <c r="AR4" s="81"/>
      <c r="AS4" s="46"/>
    </row>
    <row r="5" spans="1:45" ht="15" customHeight="1">
      <c r="A5" s="25">
        <v>3</v>
      </c>
      <c r="B5" s="21" t="s">
        <v>407</v>
      </c>
      <c r="C5" s="21" t="s">
        <v>363</v>
      </c>
      <c r="D5" s="21" t="s">
        <v>130</v>
      </c>
      <c r="E5" s="22" t="s">
        <v>414</v>
      </c>
      <c r="F5" s="22" t="s">
        <v>415</v>
      </c>
      <c r="G5" s="22" t="s">
        <v>408</v>
      </c>
      <c r="H5" s="22">
        <v>2026</v>
      </c>
      <c r="I5" s="22" t="s">
        <v>412</v>
      </c>
      <c r="J5" s="22" t="s">
        <v>413</v>
      </c>
      <c r="K5" s="22"/>
      <c r="L5" s="23"/>
      <c r="M5" s="23"/>
      <c r="N5" s="23"/>
      <c r="O5" s="23"/>
      <c r="P5" s="23"/>
      <c r="Q5" s="23"/>
      <c r="R5" s="23">
        <v>46184</v>
      </c>
      <c r="S5" s="22" t="s">
        <v>471</v>
      </c>
      <c r="T5" s="22" t="s">
        <v>381</v>
      </c>
      <c r="U5" s="33" t="s">
        <v>391</v>
      </c>
      <c r="V5" s="22" t="s">
        <v>410</v>
      </c>
      <c r="W5" s="22" t="s">
        <v>416</v>
      </c>
      <c r="X5" s="23">
        <v>46184</v>
      </c>
      <c r="Y5" s="23"/>
      <c r="Z5" s="23"/>
      <c r="AA5" s="23"/>
      <c r="AB5" s="30"/>
      <c r="AC5" s="47"/>
      <c r="AD5" s="70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71"/>
      <c r="AP5" s="22"/>
      <c r="AQ5" s="21"/>
      <c r="AR5" s="81"/>
      <c r="AS5" s="46"/>
    </row>
    <row r="6" spans="1:45" ht="15" customHeight="1">
      <c r="A6" s="44">
        <v>4</v>
      </c>
      <c r="B6" s="45" t="s">
        <v>407</v>
      </c>
      <c r="C6" s="45" t="s">
        <v>363</v>
      </c>
      <c r="D6" s="45" t="s">
        <v>130</v>
      </c>
      <c r="E6" s="24" t="s">
        <v>417</v>
      </c>
      <c r="F6" s="24" t="s">
        <v>418</v>
      </c>
      <c r="G6" s="24" t="s">
        <v>408</v>
      </c>
      <c r="H6" s="24">
        <v>2026</v>
      </c>
      <c r="I6" s="24" t="s">
        <v>412</v>
      </c>
      <c r="J6" s="22" t="s">
        <v>413</v>
      </c>
      <c r="K6" s="24"/>
      <c r="L6" s="48"/>
      <c r="M6" s="48"/>
      <c r="N6" s="48"/>
      <c r="O6" s="48"/>
      <c r="P6" s="48"/>
      <c r="Q6" s="48"/>
      <c r="R6" s="23">
        <v>46177</v>
      </c>
      <c r="S6" s="22">
        <v>290942</v>
      </c>
      <c r="T6" s="22" t="s">
        <v>369</v>
      </c>
      <c r="U6" s="34" t="s">
        <v>389</v>
      </c>
      <c r="V6" s="22" t="s">
        <v>365</v>
      </c>
      <c r="W6" s="22" t="s">
        <v>419</v>
      </c>
      <c r="X6" s="23">
        <v>46183</v>
      </c>
      <c r="Y6" s="23"/>
      <c r="Z6" s="23">
        <v>46183</v>
      </c>
      <c r="AA6" s="23"/>
      <c r="AB6" s="30" t="s">
        <v>402</v>
      </c>
      <c r="AC6" s="47"/>
      <c r="AD6" s="70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71"/>
      <c r="AP6" s="22"/>
      <c r="AQ6" s="21"/>
      <c r="AR6" s="81"/>
      <c r="AS6" s="46"/>
    </row>
    <row r="7" spans="1:45" ht="15" customHeight="1">
      <c r="A7" s="58">
        <v>5</v>
      </c>
      <c r="B7" s="21" t="s">
        <v>440</v>
      </c>
      <c r="C7" s="21" t="s">
        <v>458</v>
      </c>
      <c r="D7" s="21" t="s">
        <v>130</v>
      </c>
      <c r="E7" s="22" t="s">
        <v>441</v>
      </c>
      <c r="F7" s="22"/>
      <c r="G7" s="22"/>
      <c r="H7" s="22">
        <v>2026</v>
      </c>
      <c r="I7" s="22"/>
      <c r="J7" s="22"/>
      <c r="K7" s="22" t="s">
        <v>439</v>
      </c>
      <c r="L7" s="23">
        <v>46164</v>
      </c>
      <c r="M7" s="23">
        <v>46177</v>
      </c>
      <c r="N7" s="23"/>
      <c r="O7" s="23">
        <v>46177</v>
      </c>
      <c r="P7" s="23"/>
      <c r="Q7" s="23"/>
      <c r="R7" s="23">
        <v>46178</v>
      </c>
      <c r="S7" s="22">
        <f>_xlfn.XLOOKUP(T7,'Dealer Code'!$A:$A,'Dealer Code'!$B:$B)</f>
        <v>290933</v>
      </c>
      <c r="T7" s="22" t="s">
        <v>371</v>
      </c>
      <c r="U7" s="33" t="s">
        <v>391</v>
      </c>
      <c r="V7" s="22" t="s">
        <v>410</v>
      </c>
      <c r="W7" s="22" t="s">
        <v>459</v>
      </c>
      <c r="X7" s="23">
        <v>46179</v>
      </c>
      <c r="Y7" s="23"/>
      <c r="Z7" s="23">
        <v>46183</v>
      </c>
      <c r="AA7" s="23"/>
      <c r="AB7" s="30" t="s">
        <v>460</v>
      </c>
      <c r="AC7" s="47"/>
      <c r="AD7" s="71" t="s">
        <v>365</v>
      </c>
      <c r="AE7" s="46" t="s">
        <v>461</v>
      </c>
      <c r="AF7" s="57">
        <v>46183</v>
      </c>
      <c r="AG7" s="57"/>
      <c r="AH7" s="57">
        <v>46185</v>
      </c>
      <c r="AI7" s="57">
        <v>46185</v>
      </c>
      <c r="AJ7" s="46" t="s">
        <v>462</v>
      </c>
      <c r="AK7" s="46" t="s">
        <v>463</v>
      </c>
      <c r="AL7" s="57">
        <v>46185</v>
      </c>
      <c r="AM7" s="55" t="s">
        <v>366</v>
      </c>
      <c r="AN7" s="55"/>
      <c r="AO7" s="71" t="s">
        <v>368</v>
      </c>
      <c r="AP7" s="23">
        <v>46183</v>
      </c>
      <c r="AQ7" s="23">
        <v>46198</v>
      </c>
      <c r="AR7" s="81" t="s">
        <v>465</v>
      </c>
      <c r="AS7" s="46"/>
    </row>
    <row r="8" spans="1:45" ht="15" customHeight="1">
      <c r="E8" s="24"/>
    </row>
    <row r="11" spans="1:45" ht="15" customHeight="1">
      <c r="E11" s="17"/>
    </row>
  </sheetData>
  <mergeCells count="8">
    <mergeCell ref="B2:M2"/>
    <mergeCell ref="O2:P2"/>
    <mergeCell ref="R2:U2"/>
    <mergeCell ref="V2:X2"/>
    <mergeCell ref="Z2:AC2"/>
    <mergeCell ref="AD2:AG2"/>
    <mergeCell ref="AH2:AN2"/>
    <mergeCell ref="AO2:AS2"/>
  </mergeCells>
  <phoneticPr fontId="1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2"/>
  <dimension ref="A1:B34"/>
  <sheetViews>
    <sheetView zoomScale="80" zoomScaleNormal="80" workbookViewId="0">
      <selection activeCell="B7" sqref="B7"/>
    </sheetView>
  </sheetViews>
  <sheetFormatPr defaultColWidth="8.44140625" defaultRowHeight="13.8"/>
  <cols>
    <col min="1" max="1" width="68.33203125" bestFit="1" customWidth="1"/>
    <col min="2" max="2" width="15.77734375" customWidth="1"/>
  </cols>
  <sheetData>
    <row r="1" spans="1:2" ht="15.6">
      <c r="A1" s="11" t="s">
        <v>119</v>
      </c>
      <c r="B1" s="15" t="s">
        <v>361</v>
      </c>
    </row>
    <row r="2" spans="1:2">
      <c r="A2" s="12" t="s">
        <v>373</v>
      </c>
      <c r="B2" s="9">
        <v>290943</v>
      </c>
    </row>
    <row r="3" spans="1:2">
      <c r="A3" s="12" t="s">
        <v>384</v>
      </c>
      <c r="B3" s="9">
        <v>290939</v>
      </c>
    </row>
    <row r="4" spans="1:2">
      <c r="A4" s="12" t="s">
        <v>364</v>
      </c>
      <c r="B4" s="9">
        <v>290938</v>
      </c>
    </row>
    <row r="5" spans="1:2">
      <c r="A5" s="12" t="s">
        <v>372</v>
      </c>
      <c r="B5" s="9">
        <v>290936</v>
      </c>
    </row>
    <row r="6" spans="1:2">
      <c r="A6" s="12" t="s">
        <v>375</v>
      </c>
      <c r="B6" s="9">
        <v>290937</v>
      </c>
    </row>
    <row r="7" spans="1:2">
      <c r="A7" s="12" t="s">
        <v>369</v>
      </c>
      <c r="B7" s="9">
        <v>290942</v>
      </c>
    </row>
    <row r="8" spans="1:2">
      <c r="A8" s="12" t="s">
        <v>379</v>
      </c>
      <c r="B8" s="9">
        <v>290935</v>
      </c>
    </row>
    <row r="9" spans="1:2">
      <c r="A9" s="12" t="s">
        <v>420</v>
      </c>
      <c r="B9" s="9">
        <v>290945</v>
      </c>
    </row>
    <row r="10" spans="1:2">
      <c r="A10" s="12" t="s">
        <v>370</v>
      </c>
      <c r="B10" s="9">
        <v>290940</v>
      </c>
    </row>
    <row r="11" spans="1:2">
      <c r="A11" s="12" t="s">
        <v>371</v>
      </c>
      <c r="B11" s="9">
        <v>290933</v>
      </c>
    </row>
    <row r="12" spans="1:2">
      <c r="A12" s="12" t="s">
        <v>382</v>
      </c>
      <c r="B12" s="9">
        <v>290941</v>
      </c>
    </row>
    <row r="13" spans="1:2">
      <c r="A13" s="12" t="s">
        <v>377</v>
      </c>
      <c r="B13" s="9">
        <v>290934</v>
      </c>
    </row>
    <row r="14" spans="1:2">
      <c r="A14" s="12" t="s">
        <v>387</v>
      </c>
      <c r="B14" s="9" t="s">
        <v>421</v>
      </c>
    </row>
    <row r="15" spans="1:2">
      <c r="A15" s="12" t="s">
        <v>374</v>
      </c>
      <c r="B15" s="9">
        <v>290945</v>
      </c>
    </row>
    <row r="16" spans="1:2">
      <c r="A16" s="12" t="s">
        <v>376</v>
      </c>
      <c r="B16" s="9" t="s">
        <v>422</v>
      </c>
    </row>
    <row r="17" spans="1:2">
      <c r="A17" s="12" t="s">
        <v>423</v>
      </c>
      <c r="B17" s="9" t="s">
        <v>422</v>
      </c>
    </row>
    <row r="18" spans="1:2">
      <c r="A18" s="12" t="s">
        <v>406</v>
      </c>
      <c r="B18" s="9" t="s">
        <v>424</v>
      </c>
    </row>
    <row r="19" spans="1:2">
      <c r="A19" s="13" t="s">
        <v>393</v>
      </c>
      <c r="B19" s="9" t="s">
        <v>425</v>
      </c>
    </row>
    <row r="20" spans="1:2">
      <c r="A20" s="14" t="s">
        <v>390</v>
      </c>
      <c r="B20" s="9" t="s">
        <v>426</v>
      </c>
    </row>
    <row r="21" spans="1:2">
      <c r="A21" s="14" t="s">
        <v>398</v>
      </c>
      <c r="B21" s="9" t="s">
        <v>427</v>
      </c>
    </row>
    <row r="22" spans="1:2">
      <c r="A22" s="13" t="s">
        <v>380</v>
      </c>
      <c r="B22" s="9" t="s">
        <v>428</v>
      </c>
    </row>
    <row r="23" spans="1:2">
      <c r="A23" s="13" t="s">
        <v>386</v>
      </c>
      <c r="B23" s="9" t="s">
        <v>429</v>
      </c>
    </row>
    <row r="24" spans="1:2">
      <c r="A24" s="13" t="s">
        <v>383</v>
      </c>
      <c r="B24" s="9" t="s">
        <v>430</v>
      </c>
    </row>
    <row r="25" spans="1:2">
      <c r="A25" s="13" t="s">
        <v>381</v>
      </c>
      <c r="B25" s="9" t="s">
        <v>471</v>
      </c>
    </row>
    <row r="26" spans="1:2">
      <c r="A26" s="13" t="s">
        <v>388</v>
      </c>
      <c r="B26" s="9" t="s">
        <v>431</v>
      </c>
    </row>
    <row r="27" spans="1:2">
      <c r="A27" s="13" t="s">
        <v>392</v>
      </c>
      <c r="B27" s="9">
        <v>290944</v>
      </c>
    </row>
    <row r="28" spans="1:2">
      <c r="A28" s="13" t="s">
        <v>397</v>
      </c>
      <c r="B28" s="9" t="s">
        <v>432</v>
      </c>
    </row>
    <row r="29" spans="1:2">
      <c r="A29" s="13" t="s">
        <v>433</v>
      </c>
      <c r="B29" s="9" t="s">
        <v>434</v>
      </c>
    </row>
    <row r="30" spans="1:2">
      <c r="A30" s="14" t="s">
        <v>396</v>
      </c>
      <c r="B30" s="9" t="s">
        <v>435</v>
      </c>
    </row>
    <row r="31" spans="1:2">
      <c r="A31" s="12" t="s">
        <v>378</v>
      </c>
      <c r="B31" s="9">
        <v>290944</v>
      </c>
    </row>
    <row r="32" spans="1:2">
      <c r="A32" s="16" t="s">
        <v>400</v>
      </c>
      <c r="B32" s="9" t="s">
        <v>434</v>
      </c>
    </row>
    <row r="33" spans="1:2">
      <c r="A33" s="10" t="s">
        <v>385</v>
      </c>
      <c r="B33" s="9" t="s">
        <v>436</v>
      </c>
    </row>
    <row r="34" spans="1:2">
      <c r="A34" s="10" t="s">
        <v>399</v>
      </c>
      <c r="B34" s="9" t="s">
        <v>437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ddbefe-a06b-4161-bdb4-0d162f5477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7E70F8FF70FE14BA2A587540EB5EAD1" ma:contentTypeVersion="13" ma:contentTypeDescription="新建文档。" ma:contentTypeScope="" ma:versionID="5156047c2a754f8377770f0c9904b63b">
  <xsd:schema xmlns:xsd="http://www.w3.org/2001/XMLSchema" xmlns:xs="http://www.w3.org/2001/XMLSchema" xmlns:p="http://schemas.microsoft.com/office/2006/metadata/properties" xmlns:ns3="caddbefe-a06b-4161-bdb4-0d162f5477b0" xmlns:ns4="19b34371-9c19-4f3f-bb92-1ae77443379a" targetNamespace="http://schemas.microsoft.com/office/2006/metadata/properties" ma:root="true" ma:fieldsID="44bfef39bec3f175da9d5f362d6fe233" ns3:_="" ns4:_="">
    <xsd:import namespace="caddbefe-a06b-4161-bdb4-0d162f5477b0"/>
    <xsd:import namespace="19b34371-9c19-4f3f-bb92-1ae7744337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dbefe-a06b-4161-bdb4-0d162f547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34371-9c19-4f3f-bb92-1ae7744337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共享提示哈希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8D71B4-9848-44C8-ADD9-52B3502AF4D7}">
  <ds:schemaRefs>
    <ds:schemaRef ds:uri="http://schemas.microsoft.com/office/2006/metadata/properties"/>
    <ds:schemaRef ds:uri="http://schemas.microsoft.com/office/infopath/2007/PartnerControls"/>
    <ds:schemaRef ds:uri="caddbefe-a06b-4161-bdb4-0d162f5477b0"/>
  </ds:schemaRefs>
</ds:datastoreItem>
</file>

<file path=customXml/itemProps2.xml><?xml version="1.0" encoding="utf-8"?>
<ds:datastoreItem xmlns:ds="http://schemas.openxmlformats.org/officeDocument/2006/customXml" ds:itemID="{A28CCEC9-146D-4DB6-80F8-4217BBA8D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ddbefe-a06b-4161-bdb4-0d162f5477b0"/>
    <ds:schemaRef ds:uri="19b34371-9c19-4f3f-bb92-1ae7744337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BC1A8C-5C3C-4F88-99A2-C705C099492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0eff497-1364-4694-83ec-5b97ea28e8b2}" enabled="0" method="" siteId="{40eff497-1364-4694-83ec-5b97ea28e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Detail1</vt:lpstr>
      <vt:lpstr>Master Vin List (EV ICE)</vt:lpstr>
      <vt:lpstr>Dealer 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kong jeffrey</dc:creator>
  <cp:keywords/>
  <dc:description/>
  <cp:lastModifiedBy>David He</cp:lastModifiedBy>
  <cp:revision/>
  <dcterms:created xsi:type="dcterms:W3CDTF">2024-04-01T10:43:23Z</dcterms:created>
  <dcterms:modified xsi:type="dcterms:W3CDTF">2026-06-22T09:56:53Z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0x01010007E70F8FF70FE14BA2A587540EB5EAD1</vt:lpwstr>
  </property>
</Properties>
</file>